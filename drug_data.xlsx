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ji/Documents/Learn AI/patient-cost-app/"/>
    </mc:Choice>
  </mc:AlternateContent>
  <xr:revisionPtr revIDLastSave="0" documentId="13_ncr:1_{D67B7F7E-521B-E842-B909-023E7F8E08FD}" xr6:coauthVersionLast="47" xr6:coauthVersionMax="47" xr10:uidLastSave="{00000000-0000-0000-0000-000000000000}"/>
  <bookViews>
    <workbookView xWindow="3240" yWindow="4140" windowWidth="39860" windowHeight="17440" xr2:uid="{01CBC590-F6C4-F646-982E-498ACE97A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19" i="1" l="1"/>
  <c r="N319" i="1"/>
  <c r="M319" i="1"/>
  <c r="K319" i="1"/>
  <c r="I319" i="1"/>
  <c r="P318" i="1"/>
  <c r="N318" i="1"/>
  <c r="M318" i="1"/>
  <c r="L318" i="1"/>
  <c r="K318" i="1"/>
  <c r="I318" i="1"/>
  <c r="P317" i="1"/>
  <c r="N317" i="1"/>
  <c r="M317" i="1"/>
  <c r="K317" i="1"/>
  <c r="P316" i="1"/>
  <c r="N316" i="1"/>
  <c r="M316" i="1"/>
  <c r="K316" i="1"/>
  <c r="H316" i="1"/>
  <c r="P315" i="1"/>
  <c r="N315" i="1"/>
  <c r="M315" i="1"/>
  <c r="K315" i="1"/>
  <c r="H315" i="1"/>
  <c r="P314" i="1"/>
  <c r="N314" i="1"/>
  <c r="M314" i="1"/>
  <c r="K314" i="1"/>
  <c r="H314" i="1"/>
  <c r="P313" i="1"/>
  <c r="N313" i="1"/>
  <c r="M313" i="1"/>
  <c r="K313" i="1"/>
  <c r="H313" i="1"/>
  <c r="P312" i="1"/>
  <c r="N312" i="1"/>
  <c r="M312" i="1"/>
  <c r="K312" i="1"/>
  <c r="P311" i="1"/>
  <c r="N311" i="1"/>
  <c r="M311" i="1"/>
  <c r="P310" i="1"/>
  <c r="N310" i="1"/>
  <c r="M310" i="1"/>
  <c r="P309" i="1"/>
  <c r="N309" i="1"/>
  <c r="M309" i="1"/>
  <c r="P308" i="1"/>
  <c r="N308" i="1"/>
  <c r="M308" i="1"/>
  <c r="K308" i="1"/>
  <c r="P307" i="1"/>
  <c r="N307" i="1"/>
  <c r="M307" i="1"/>
  <c r="K307" i="1"/>
  <c r="P306" i="1"/>
  <c r="N306" i="1"/>
  <c r="M306" i="1"/>
  <c r="K306" i="1"/>
  <c r="P305" i="1"/>
  <c r="N305" i="1"/>
  <c r="M305" i="1"/>
  <c r="K305" i="1"/>
  <c r="P304" i="1"/>
  <c r="N304" i="1"/>
  <c r="M304" i="1"/>
  <c r="K304" i="1"/>
  <c r="P303" i="1"/>
  <c r="N303" i="1"/>
  <c r="M303" i="1"/>
  <c r="K303" i="1"/>
  <c r="P302" i="1"/>
  <c r="N302" i="1"/>
  <c r="M302" i="1"/>
  <c r="K302" i="1"/>
  <c r="P301" i="1"/>
  <c r="N301" i="1"/>
  <c r="M301" i="1"/>
  <c r="K301" i="1"/>
  <c r="P300" i="1"/>
  <c r="N300" i="1"/>
  <c r="M300" i="1"/>
  <c r="K300" i="1"/>
  <c r="P299" i="1"/>
  <c r="N299" i="1"/>
  <c r="M299" i="1"/>
  <c r="K299" i="1"/>
  <c r="P298" i="1"/>
  <c r="N298" i="1"/>
  <c r="M298" i="1"/>
  <c r="K298" i="1"/>
  <c r="P297" i="1"/>
  <c r="N297" i="1"/>
  <c r="M297" i="1"/>
  <c r="K297" i="1"/>
  <c r="P296" i="1"/>
  <c r="N296" i="1"/>
  <c r="M296" i="1"/>
  <c r="K296" i="1"/>
  <c r="P295" i="1"/>
  <c r="N295" i="1"/>
  <c r="M295" i="1"/>
  <c r="K295" i="1"/>
  <c r="P294" i="1"/>
  <c r="N294" i="1"/>
  <c r="M294" i="1"/>
  <c r="K294" i="1"/>
  <c r="P293" i="1"/>
  <c r="N293" i="1"/>
  <c r="M293" i="1"/>
  <c r="K293" i="1"/>
  <c r="P292" i="1"/>
  <c r="N292" i="1"/>
  <c r="M292" i="1"/>
  <c r="K292" i="1"/>
  <c r="P291" i="1"/>
  <c r="N291" i="1"/>
  <c r="M291" i="1"/>
  <c r="K291" i="1"/>
  <c r="P290" i="1"/>
  <c r="N290" i="1"/>
  <c r="M290" i="1"/>
  <c r="K290" i="1"/>
  <c r="P289" i="1"/>
  <c r="N289" i="1"/>
  <c r="M289" i="1"/>
  <c r="K289" i="1"/>
  <c r="P288" i="1"/>
  <c r="N288" i="1"/>
  <c r="M288" i="1"/>
  <c r="K288" i="1"/>
  <c r="P287" i="1"/>
  <c r="N287" i="1"/>
  <c r="M287" i="1"/>
  <c r="K287" i="1"/>
  <c r="P286" i="1"/>
  <c r="N286" i="1"/>
  <c r="M286" i="1"/>
  <c r="K286" i="1"/>
  <c r="P285" i="1"/>
  <c r="N285" i="1"/>
  <c r="M285" i="1"/>
  <c r="K285" i="1"/>
  <c r="P284" i="1"/>
  <c r="N284" i="1"/>
  <c r="M284" i="1"/>
  <c r="K284" i="1"/>
  <c r="P283" i="1"/>
  <c r="N283" i="1"/>
  <c r="M283" i="1"/>
  <c r="K283" i="1"/>
  <c r="P282" i="1"/>
  <c r="N282" i="1"/>
  <c r="M282" i="1"/>
  <c r="K282" i="1"/>
  <c r="P281" i="1"/>
  <c r="N281" i="1"/>
  <c r="M281" i="1"/>
  <c r="K281" i="1"/>
  <c r="P280" i="1"/>
  <c r="N280" i="1"/>
  <c r="M280" i="1"/>
  <c r="K280" i="1"/>
  <c r="P279" i="1"/>
  <c r="N279" i="1"/>
  <c r="M279" i="1"/>
  <c r="K279" i="1"/>
  <c r="P278" i="1"/>
  <c r="N278" i="1"/>
  <c r="M278" i="1"/>
  <c r="K278" i="1"/>
  <c r="P277" i="1"/>
  <c r="N277" i="1"/>
  <c r="M277" i="1"/>
  <c r="K277" i="1"/>
  <c r="P276" i="1"/>
  <c r="N276" i="1"/>
  <c r="M276" i="1"/>
  <c r="K276" i="1"/>
  <c r="P275" i="1"/>
  <c r="N275" i="1"/>
  <c r="M275" i="1"/>
  <c r="K275" i="1"/>
  <c r="P274" i="1"/>
  <c r="N274" i="1"/>
  <c r="M274" i="1"/>
  <c r="K274" i="1"/>
  <c r="P273" i="1"/>
  <c r="N273" i="1"/>
  <c r="M273" i="1"/>
  <c r="K273" i="1"/>
  <c r="P272" i="1"/>
  <c r="N272" i="1"/>
  <c r="M272" i="1"/>
  <c r="K272" i="1"/>
  <c r="P271" i="1"/>
  <c r="N271" i="1"/>
  <c r="M271" i="1"/>
  <c r="K271" i="1"/>
  <c r="P269" i="1"/>
  <c r="N269" i="1"/>
  <c r="I269" i="1"/>
  <c r="G269" i="1"/>
  <c r="F269" i="1"/>
  <c r="P267" i="1"/>
  <c r="N267" i="1"/>
  <c r="M267" i="1"/>
  <c r="K267" i="1"/>
  <c r="P266" i="1"/>
  <c r="N266" i="1"/>
  <c r="M266" i="1"/>
  <c r="K266" i="1"/>
  <c r="P265" i="1"/>
  <c r="N265" i="1"/>
  <c r="M265" i="1"/>
  <c r="K265" i="1"/>
  <c r="P264" i="1"/>
  <c r="N264" i="1"/>
  <c r="M264" i="1"/>
  <c r="K264" i="1"/>
  <c r="P263" i="1"/>
  <c r="N263" i="1"/>
  <c r="M263" i="1"/>
  <c r="K263" i="1"/>
  <c r="P262" i="1"/>
  <c r="N262" i="1"/>
  <c r="M262" i="1"/>
  <c r="K262" i="1"/>
  <c r="P261" i="1"/>
  <c r="N261" i="1"/>
  <c r="M261" i="1"/>
  <c r="K261" i="1"/>
  <c r="P260" i="1"/>
  <c r="N260" i="1"/>
  <c r="M260" i="1"/>
  <c r="K260" i="1"/>
  <c r="P259" i="1"/>
  <c r="N259" i="1"/>
  <c r="M259" i="1"/>
  <c r="K259" i="1"/>
  <c r="P258" i="1"/>
  <c r="N258" i="1"/>
  <c r="M258" i="1"/>
  <c r="K258" i="1"/>
  <c r="P257" i="1"/>
  <c r="N257" i="1"/>
  <c r="M257" i="1"/>
  <c r="K257" i="1"/>
  <c r="P256" i="1"/>
  <c r="N256" i="1"/>
  <c r="M256" i="1"/>
  <c r="K256" i="1"/>
  <c r="P255" i="1"/>
  <c r="N255" i="1"/>
  <c r="M255" i="1"/>
  <c r="K255" i="1"/>
  <c r="P254" i="1"/>
  <c r="N254" i="1"/>
  <c r="M254" i="1"/>
  <c r="K254" i="1"/>
  <c r="P253" i="1"/>
  <c r="N253" i="1"/>
  <c r="M253" i="1"/>
  <c r="K253" i="1"/>
  <c r="P252" i="1"/>
  <c r="N252" i="1"/>
  <c r="M252" i="1"/>
  <c r="K252" i="1"/>
  <c r="P251" i="1"/>
  <c r="N251" i="1"/>
  <c r="M251" i="1"/>
  <c r="K251" i="1"/>
  <c r="P250" i="1"/>
  <c r="N250" i="1"/>
  <c r="M250" i="1"/>
  <c r="K250" i="1"/>
  <c r="P249" i="1"/>
  <c r="N249" i="1"/>
  <c r="M249" i="1"/>
  <c r="K249" i="1"/>
  <c r="P248" i="1"/>
  <c r="N248" i="1"/>
  <c r="M248" i="1"/>
  <c r="K248" i="1"/>
  <c r="P247" i="1"/>
  <c r="N247" i="1"/>
  <c r="M247" i="1"/>
  <c r="K247" i="1"/>
  <c r="P246" i="1"/>
  <c r="N246" i="1"/>
  <c r="M246" i="1"/>
  <c r="K246" i="1"/>
  <c r="P245" i="1"/>
  <c r="N245" i="1"/>
  <c r="M245" i="1"/>
  <c r="K245" i="1"/>
  <c r="P244" i="1"/>
  <c r="N244" i="1"/>
  <c r="M244" i="1"/>
  <c r="K244" i="1"/>
  <c r="P243" i="1"/>
  <c r="N243" i="1"/>
  <c r="M243" i="1"/>
  <c r="K243" i="1"/>
  <c r="P242" i="1"/>
  <c r="N242" i="1"/>
  <c r="M242" i="1"/>
  <c r="K242" i="1"/>
  <c r="P241" i="1"/>
  <c r="N241" i="1"/>
  <c r="M241" i="1"/>
  <c r="K241" i="1"/>
  <c r="P240" i="1"/>
  <c r="N240" i="1"/>
  <c r="M240" i="1"/>
  <c r="K240" i="1"/>
  <c r="P239" i="1"/>
  <c r="N239" i="1"/>
  <c r="M239" i="1"/>
  <c r="K239" i="1"/>
  <c r="P238" i="1"/>
  <c r="N238" i="1"/>
  <c r="M238" i="1"/>
  <c r="K238" i="1"/>
  <c r="P237" i="1"/>
  <c r="N237" i="1"/>
  <c r="M237" i="1"/>
  <c r="K237" i="1"/>
  <c r="P236" i="1"/>
  <c r="N236" i="1"/>
  <c r="M236" i="1"/>
  <c r="K236" i="1"/>
  <c r="N235" i="1"/>
  <c r="M235" i="1"/>
  <c r="K235" i="1"/>
  <c r="P234" i="1"/>
  <c r="N234" i="1"/>
  <c r="M234" i="1"/>
  <c r="K234" i="1"/>
  <c r="P233" i="1"/>
  <c r="N233" i="1"/>
  <c r="M233" i="1"/>
  <c r="K233" i="1"/>
  <c r="P232" i="1"/>
  <c r="N232" i="1"/>
  <c r="M232" i="1"/>
  <c r="K232" i="1"/>
  <c r="P231" i="1"/>
  <c r="N231" i="1"/>
  <c r="M231" i="1"/>
  <c r="K231" i="1"/>
  <c r="P230" i="1"/>
  <c r="N230" i="1"/>
  <c r="M230" i="1"/>
  <c r="K230" i="1"/>
  <c r="P229" i="1"/>
  <c r="N229" i="1"/>
  <c r="M229" i="1"/>
  <c r="K229" i="1"/>
  <c r="P228" i="1"/>
  <c r="N228" i="1"/>
  <c r="M228" i="1"/>
  <c r="K228" i="1"/>
  <c r="P227" i="1"/>
  <c r="N227" i="1"/>
  <c r="M227" i="1"/>
  <c r="K227" i="1"/>
  <c r="P226" i="1"/>
  <c r="N226" i="1"/>
  <c r="M226" i="1"/>
  <c r="K226" i="1"/>
  <c r="P225" i="1"/>
  <c r="N225" i="1"/>
  <c r="M225" i="1"/>
  <c r="K225" i="1"/>
  <c r="P224" i="1"/>
  <c r="N224" i="1"/>
  <c r="M224" i="1"/>
  <c r="K224" i="1"/>
  <c r="P223" i="1"/>
  <c r="N223" i="1"/>
  <c r="M223" i="1"/>
  <c r="K223" i="1"/>
  <c r="P222" i="1"/>
  <c r="N222" i="1"/>
  <c r="M222" i="1"/>
  <c r="K222" i="1"/>
  <c r="P221" i="1"/>
  <c r="N221" i="1"/>
  <c r="M221" i="1"/>
  <c r="K221" i="1"/>
  <c r="P220" i="1"/>
  <c r="N220" i="1"/>
  <c r="M220" i="1"/>
  <c r="K220" i="1"/>
  <c r="P219" i="1"/>
  <c r="N219" i="1"/>
  <c r="M219" i="1"/>
  <c r="K219" i="1"/>
  <c r="P218" i="1"/>
  <c r="N218" i="1"/>
  <c r="M218" i="1"/>
  <c r="K218" i="1"/>
  <c r="P217" i="1"/>
  <c r="N217" i="1"/>
  <c r="M217" i="1"/>
  <c r="K217" i="1"/>
  <c r="P216" i="1"/>
  <c r="N216" i="1"/>
  <c r="M216" i="1"/>
  <c r="K216" i="1"/>
  <c r="P215" i="1"/>
  <c r="N215" i="1"/>
  <c r="M215" i="1"/>
  <c r="K215" i="1"/>
  <c r="P214" i="1"/>
  <c r="N214" i="1"/>
  <c r="M214" i="1"/>
  <c r="K214" i="1"/>
  <c r="P213" i="1"/>
  <c r="N213" i="1"/>
  <c r="M213" i="1"/>
  <c r="K213" i="1"/>
  <c r="P212" i="1"/>
  <c r="N212" i="1"/>
  <c r="M212" i="1"/>
  <c r="K212" i="1"/>
  <c r="P211" i="1"/>
  <c r="N211" i="1"/>
  <c r="M211" i="1"/>
  <c r="K211" i="1"/>
  <c r="P210" i="1"/>
  <c r="N210" i="1"/>
  <c r="M210" i="1"/>
  <c r="K210" i="1"/>
  <c r="P209" i="1"/>
  <c r="N209" i="1"/>
  <c r="M209" i="1"/>
  <c r="K209" i="1"/>
  <c r="P208" i="1"/>
  <c r="N208" i="1"/>
  <c r="M208" i="1"/>
  <c r="K208" i="1"/>
  <c r="P207" i="1"/>
  <c r="N207" i="1"/>
  <c r="M207" i="1"/>
  <c r="K207" i="1"/>
  <c r="P206" i="1"/>
  <c r="N206" i="1"/>
  <c r="M206" i="1"/>
  <c r="K206" i="1"/>
  <c r="P205" i="1"/>
  <c r="N205" i="1"/>
  <c r="M205" i="1"/>
  <c r="K205" i="1"/>
  <c r="I205" i="1"/>
  <c r="P204" i="1"/>
  <c r="N204" i="1"/>
  <c r="M204" i="1"/>
  <c r="K204" i="1"/>
  <c r="I204" i="1"/>
  <c r="P203" i="1"/>
  <c r="N203" i="1"/>
  <c r="M203" i="1"/>
  <c r="K203" i="1"/>
  <c r="I203" i="1"/>
  <c r="P202" i="1"/>
  <c r="N202" i="1"/>
  <c r="M202" i="1"/>
  <c r="K202" i="1"/>
  <c r="P201" i="1"/>
  <c r="N201" i="1"/>
  <c r="M201" i="1"/>
  <c r="K201" i="1"/>
  <c r="P200" i="1"/>
  <c r="N200" i="1"/>
  <c r="M200" i="1"/>
  <c r="K200" i="1"/>
  <c r="P199" i="1"/>
  <c r="N199" i="1"/>
  <c r="M199" i="1"/>
  <c r="K199" i="1"/>
  <c r="P198" i="1"/>
  <c r="N198" i="1"/>
  <c r="M198" i="1"/>
  <c r="K198" i="1"/>
  <c r="P197" i="1"/>
  <c r="N197" i="1"/>
  <c r="M197" i="1"/>
  <c r="K197" i="1"/>
  <c r="P196" i="1"/>
  <c r="N196" i="1"/>
  <c r="M196" i="1"/>
  <c r="K196" i="1"/>
  <c r="P195" i="1"/>
  <c r="N195" i="1"/>
  <c r="M195" i="1"/>
  <c r="K195" i="1"/>
  <c r="P194" i="1"/>
  <c r="N194" i="1"/>
  <c r="M194" i="1"/>
  <c r="K194" i="1"/>
  <c r="P193" i="1"/>
  <c r="N193" i="1"/>
  <c r="M193" i="1"/>
  <c r="K193" i="1"/>
  <c r="P192" i="1"/>
  <c r="N192" i="1"/>
  <c r="M192" i="1"/>
  <c r="K192" i="1"/>
  <c r="P191" i="1"/>
  <c r="N191" i="1"/>
  <c r="M191" i="1"/>
  <c r="K191" i="1"/>
  <c r="P190" i="1"/>
  <c r="N190" i="1"/>
  <c r="M190" i="1"/>
  <c r="K190" i="1"/>
  <c r="P189" i="1"/>
  <c r="N189" i="1"/>
  <c r="M189" i="1"/>
  <c r="K189" i="1"/>
  <c r="P188" i="1"/>
  <c r="N188" i="1"/>
  <c r="M188" i="1"/>
  <c r="K188" i="1"/>
  <c r="P187" i="1"/>
  <c r="N187" i="1"/>
  <c r="M187" i="1"/>
  <c r="K187" i="1"/>
  <c r="P186" i="1"/>
  <c r="N186" i="1"/>
  <c r="M186" i="1"/>
  <c r="K186" i="1"/>
  <c r="P185" i="1"/>
  <c r="N185" i="1"/>
  <c r="M185" i="1"/>
  <c r="K185" i="1"/>
  <c r="P184" i="1"/>
  <c r="N184" i="1"/>
  <c r="M184" i="1"/>
  <c r="K184" i="1"/>
  <c r="P183" i="1"/>
  <c r="N183" i="1"/>
  <c r="M183" i="1"/>
  <c r="K183" i="1"/>
  <c r="P182" i="1"/>
  <c r="N182" i="1"/>
  <c r="M182" i="1"/>
  <c r="K182" i="1"/>
  <c r="P181" i="1"/>
  <c r="N181" i="1"/>
  <c r="M181" i="1"/>
  <c r="K181" i="1"/>
  <c r="P180" i="1"/>
  <c r="N180" i="1"/>
  <c r="M180" i="1"/>
  <c r="K180" i="1"/>
  <c r="P179" i="1"/>
  <c r="N179" i="1"/>
  <c r="M179" i="1"/>
  <c r="K179" i="1"/>
  <c r="P178" i="1"/>
  <c r="N178" i="1"/>
  <c r="M178" i="1"/>
  <c r="K178" i="1"/>
  <c r="P177" i="1"/>
  <c r="N177" i="1"/>
  <c r="M177" i="1"/>
  <c r="K177" i="1"/>
  <c r="P176" i="1"/>
  <c r="N176" i="1"/>
  <c r="M176" i="1"/>
  <c r="K176" i="1"/>
  <c r="P175" i="1"/>
  <c r="N175" i="1"/>
  <c r="M175" i="1"/>
  <c r="K175" i="1"/>
  <c r="P174" i="1"/>
  <c r="N174" i="1"/>
  <c r="M174" i="1"/>
  <c r="K174" i="1"/>
  <c r="P173" i="1"/>
  <c r="N173" i="1"/>
  <c r="M173" i="1"/>
  <c r="P172" i="1"/>
  <c r="N172" i="1"/>
  <c r="M172" i="1"/>
  <c r="K172" i="1"/>
  <c r="P171" i="1"/>
  <c r="N171" i="1"/>
  <c r="M171" i="1"/>
  <c r="K171" i="1"/>
  <c r="P170" i="1"/>
  <c r="N170" i="1"/>
  <c r="M170" i="1"/>
  <c r="K170" i="1"/>
  <c r="P169" i="1"/>
  <c r="N169" i="1"/>
  <c r="M169" i="1"/>
  <c r="K169" i="1"/>
  <c r="P168" i="1"/>
  <c r="N168" i="1"/>
  <c r="M168" i="1"/>
  <c r="K168" i="1"/>
  <c r="P167" i="1"/>
  <c r="N167" i="1"/>
  <c r="M167" i="1"/>
  <c r="K167" i="1"/>
  <c r="P166" i="1"/>
  <c r="N166" i="1"/>
  <c r="G166" i="1"/>
  <c r="F166" i="1"/>
  <c r="P165" i="1"/>
  <c r="N165" i="1"/>
  <c r="M165" i="1"/>
  <c r="K165" i="1"/>
  <c r="P164" i="1"/>
  <c r="N164" i="1"/>
  <c r="M164" i="1"/>
  <c r="K164" i="1"/>
  <c r="P163" i="1"/>
  <c r="N163" i="1"/>
  <c r="M163" i="1"/>
  <c r="K163" i="1"/>
  <c r="P162" i="1"/>
  <c r="N162" i="1"/>
  <c r="M162" i="1"/>
  <c r="K162" i="1"/>
  <c r="P161" i="1"/>
  <c r="N161" i="1"/>
  <c r="M161" i="1"/>
  <c r="K161" i="1"/>
  <c r="P160" i="1"/>
  <c r="N160" i="1"/>
  <c r="M160" i="1"/>
  <c r="K160" i="1"/>
  <c r="P159" i="1"/>
  <c r="N159" i="1"/>
  <c r="M159" i="1"/>
  <c r="K159" i="1"/>
  <c r="P158" i="1"/>
  <c r="N158" i="1"/>
  <c r="M158" i="1"/>
  <c r="K158" i="1"/>
  <c r="P157" i="1"/>
  <c r="N157" i="1"/>
  <c r="M157" i="1"/>
  <c r="K157" i="1"/>
  <c r="P156" i="1"/>
  <c r="N156" i="1"/>
  <c r="M156" i="1"/>
  <c r="K156" i="1"/>
  <c r="P155" i="1"/>
  <c r="N155" i="1"/>
  <c r="M155" i="1"/>
  <c r="K155" i="1"/>
  <c r="P154" i="1"/>
  <c r="N154" i="1"/>
  <c r="M154" i="1"/>
  <c r="K154" i="1"/>
  <c r="P153" i="1"/>
  <c r="N153" i="1"/>
  <c r="M153" i="1"/>
  <c r="K153" i="1"/>
  <c r="P152" i="1"/>
  <c r="N152" i="1"/>
  <c r="M152" i="1"/>
  <c r="K152" i="1"/>
  <c r="P151" i="1"/>
  <c r="N151" i="1"/>
  <c r="M151" i="1"/>
  <c r="K151" i="1"/>
  <c r="P150" i="1"/>
  <c r="N150" i="1"/>
  <c r="M150" i="1"/>
  <c r="K150" i="1"/>
  <c r="P149" i="1"/>
  <c r="N149" i="1"/>
  <c r="M149" i="1"/>
  <c r="K149" i="1"/>
  <c r="P148" i="1"/>
  <c r="N148" i="1"/>
  <c r="M148" i="1"/>
  <c r="K148" i="1"/>
  <c r="P147" i="1"/>
  <c r="N147" i="1"/>
  <c r="M147" i="1"/>
  <c r="K147" i="1"/>
  <c r="P146" i="1"/>
  <c r="N146" i="1"/>
  <c r="M146" i="1"/>
  <c r="K146" i="1"/>
  <c r="P145" i="1"/>
  <c r="N145" i="1"/>
  <c r="M145" i="1"/>
  <c r="K145" i="1"/>
  <c r="P144" i="1"/>
  <c r="N144" i="1"/>
  <c r="M144" i="1"/>
  <c r="K144" i="1"/>
  <c r="P143" i="1"/>
  <c r="N143" i="1"/>
  <c r="M143" i="1"/>
  <c r="K143" i="1"/>
  <c r="P142" i="1"/>
  <c r="N142" i="1"/>
  <c r="M142" i="1"/>
  <c r="K142" i="1"/>
  <c r="P141" i="1"/>
  <c r="N141" i="1"/>
  <c r="M141" i="1"/>
  <c r="K141" i="1"/>
  <c r="P140" i="1"/>
  <c r="N140" i="1"/>
  <c r="M140" i="1"/>
  <c r="K140" i="1"/>
  <c r="P139" i="1"/>
  <c r="N139" i="1"/>
  <c r="M139" i="1"/>
  <c r="K139" i="1"/>
  <c r="P138" i="1"/>
  <c r="N138" i="1"/>
  <c r="M138" i="1"/>
  <c r="K138" i="1"/>
  <c r="P137" i="1"/>
  <c r="N137" i="1"/>
  <c r="M137" i="1"/>
  <c r="K137" i="1"/>
  <c r="P136" i="1"/>
  <c r="N136" i="1"/>
  <c r="M136" i="1"/>
  <c r="K136" i="1"/>
  <c r="P135" i="1"/>
  <c r="N135" i="1"/>
  <c r="M135" i="1"/>
  <c r="K135" i="1"/>
  <c r="P134" i="1"/>
  <c r="N134" i="1"/>
  <c r="M134" i="1"/>
  <c r="K134" i="1"/>
  <c r="P133" i="1"/>
  <c r="N133" i="1"/>
  <c r="M133" i="1"/>
  <c r="K133" i="1"/>
  <c r="P132" i="1"/>
  <c r="N132" i="1"/>
  <c r="M132" i="1"/>
  <c r="K132" i="1"/>
  <c r="P131" i="1"/>
  <c r="N131" i="1"/>
  <c r="M131" i="1"/>
  <c r="K131" i="1"/>
  <c r="P130" i="1"/>
  <c r="N130" i="1"/>
  <c r="M130" i="1"/>
  <c r="K130" i="1"/>
  <c r="P129" i="1"/>
  <c r="N129" i="1"/>
  <c r="M129" i="1"/>
  <c r="K129" i="1"/>
  <c r="P128" i="1"/>
  <c r="N128" i="1"/>
  <c r="M128" i="1"/>
  <c r="K128" i="1"/>
  <c r="P127" i="1"/>
  <c r="N127" i="1"/>
  <c r="M127" i="1"/>
  <c r="K127" i="1"/>
  <c r="P126" i="1"/>
  <c r="N126" i="1"/>
  <c r="M126" i="1"/>
  <c r="K126" i="1"/>
  <c r="P125" i="1"/>
  <c r="N125" i="1"/>
  <c r="M125" i="1"/>
  <c r="K125" i="1"/>
  <c r="P124" i="1"/>
  <c r="N124" i="1"/>
  <c r="M124" i="1"/>
  <c r="K124" i="1"/>
  <c r="P123" i="1"/>
  <c r="N123" i="1"/>
  <c r="M123" i="1"/>
  <c r="K123" i="1"/>
  <c r="P122" i="1"/>
  <c r="N122" i="1"/>
  <c r="M122" i="1"/>
  <c r="K122" i="1"/>
  <c r="P121" i="1"/>
  <c r="N121" i="1"/>
  <c r="M121" i="1"/>
  <c r="K121" i="1"/>
  <c r="P120" i="1"/>
  <c r="N120" i="1"/>
  <c r="M120" i="1"/>
  <c r="K120" i="1"/>
  <c r="P119" i="1"/>
  <c r="N119" i="1"/>
  <c r="M119" i="1"/>
  <c r="K119" i="1"/>
  <c r="P118" i="1"/>
  <c r="N118" i="1"/>
  <c r="M118" i="1"/>
  <c r="K118" i="1"/>
  <c r="P117" i="1"/>
  <c r="N117" i="1"/>
  <c r="M117" i="1"/>
  <c r="K117" i="1"/>
  <c r="P116" i="1"/>
  <c r="N116" i="1"/>
  <c r="J116" i="1"/>
  <c r="I116" i="1"/>
  <c r="G116" i="1"/>
  <c r="F116" i="1"/>
  <c r="E116" i="1"/>
  <c r="P115" i="1"/>
  <c r="N115" i="1"/>
  <c r="M115" i="1"/>
  <c r="L115" i="1"/>
  <c r="K115" i="1"/>
  <c r="J115" i="1"/>
  <c r="I115" i="1"/>
  <c r="G115" i="1"/>
  <c r="F115" i="1"/>
  <c r="E115" i="1"/>
  <c r="P114" i="1"/>
  <c r="N114" i="1"/>
  <c r="I114" i="1"/>
  <c r="G114" i="1"/>
  <c r="F114" i="1"/>
  <c r="P113" i="1"/>
  <c r="N113" i="1"/>
  <c r="I113" i="1"/>
  <c r="G113" i="1"/>
  <c r="F113" i="1"/>
  <c r="P112" i="1"/>
  <c r="N112" i="1"/>
  <c r="I112" i="1"/>
  <c r="H112" i="1"/>
  <c r="G112" i="1"/>
  <c r="F112" i="1"/>
  <c r="P111" i="1"/>
  <c r="N111" i="1"/>
  <c r="K111" i="1"/>
  <c r="I111" i="1"/>
  <c r="G111" i="1"/>
  <c r="F111" i="1"/>
  <c r="P110" i="1"/>
  <c r="N110" i="1"/>
  <c r="I110" i="1"/>
  <c r="G110" i="1"/>
  <c r="F110" i="1"/>
  <c r="P109" i="1"/>
  <c r="N109" i="1"/>
  <c r="M109" i="1"/>
  <c r="K109" i="1"/>
  <c r="P108" i="1"/>
  <c r="N108" i="1"/>
  <c r="M108" i="1"/>
  <c r="K108" i="1"/>
  <c r="P107" i="1"/>
  <c r="N107" i="1"/>
  <c r="M107" i="1"/>
  <c r="K107" i="1"/>
  <c r="P106" i="1"/>
  <c r="N106" i="1"/>
  <c r="M106" i="1"/>
  <c r="K106" i="1"/>
  <c r="P105" i="1"/>
  <c r="N105" i="1"/>
  <c r="M105" i="1"/>
  <c r="K105" i="1"/>
  <c r="P104" i="1"/>
  <c r="N104" i="1"/>
  <c r="M104" i="1"/>
  <c r="K104" i="1"/>
  <c r="P103" i="1"/>
  <c r="N103" i="1"/>
  <c r="M103" i="1"/>
  <c r="K103" i="1"/>
  <c r="P102" i="1"/>
  <c r="N102" i="1"/>
  <c r="M102" i="1"/>
  <c r="K102" i="1"/>
  <c r="P101" i="1"/>
  <c r="N101" i="1"/>
  <c r="M101" i="1"/>
  <c r="K101" i="1"/>
  <c r="P100" i="1"/>
  <c r="N100" i="1"/>
  <c r="M100" i="1"/>
  <c r="K100" i="1"/>
  <c r="P99" i="1"/>
  <c r="N99" i="1"/>
  <c r="M99" i="1"/>
  <c r="K99" i="1"/>
  <c r="P98" i="1"/>
  <c r="N98" i="1"/>
  <c r="M98" i="1"/>
  <c r="K98" i="1"/>
  <c r="P97" i="1"/>
  <c r="N97" i="1"/>
  <c r="M97" i="1"/>
  <c r="K97" i="1"/>
  <c r="P96" i="1"/>
  <c r="N96" i="1"/>
  <c r="M96" i="1"/>
  <c r="K96" i="1"/>
  <c r="P95" i="1"/>
  <c r="N95" i="1"/>
  <c r="M95" i="1"/>
  <c r="K95" i="1"/>
  <c r="P94" i="1"/>
  <c r="N94" i="1"/>
  <c r="M94" i="1"/>
  <c r="K94" i="1"/>
  <c r="P93" i="1"/>
  <c r="N93" i="1"/>
  <c r="M93" i="1"/>
  <c r="K93" i="1"/>
  <c r="P92" i="1"/>
  <c r="N92" i="1"/>
  <c r="M92" i="1"/>
  <c r="K92" i="1"/>
  <c r="P91" i="1"/>
  <c r="N91" i="1"/>
  <c r="M91" i="1"/>
  <c r="K91" i="1"/>
  <c r="P90" i="1"/>
  <c r="N90" i="1"/>
  <c r="M90" i="1"/>
  <c r="K90" i="1"/>
  <c r="P89" i="1"/>
  <c r="N89" i="1"/>
  <c r="M89" i="1"/>
  <c r="K89" i="1"/>
  <c r="P88" i="1"/>
  <c r="N88" i="1"/>
  <c r="M88" i="1"/>
  <c r="K88" i="1"/>
  <c r="P87" i="1"/>
  <c r="N87" i="1"/>
  <c r="M87" i="1"/>
  <c r="K87" i="1"/>
  <c r="P86" i="1"/>
  <c r="N86" i="1"/>
  <c r="M86" i="1"/>
  <c r="K86" i="1"/>
  <c r="P85" i="1"/>
  <c r="N85" i="1"/>
  <c r="M85" i="1"/>
  <c r="K85" i="1"/>
  <c r="P84" i="1"/>
  <c r="N84" i="1"/>
  <c r="M84" i="1"/>
  <c r="K84" i="1"/>
  <c r="P83" i="1"/>
  <c r="N83" i="1"/>
  <c r="M83" i="1"/>
  <c r="K83" i="1"/>
  <c r="P82" i="1"/>
  <c r="N82" i="1"/>
  <c r="M82" i="1"/>
  <c r="K82" i="1"/>
  <c r="P81" i="1"/>
  <c r="N81" i="1"/>
  <c r="M81" i="1"/>
  <c r="K81" i="1"/>
  <c r="P80" i="1"/>
  <c r="N80" i="1"/>
  <c r="M80" i="1"/>
  <c r="K80" i="1"/>
  <c r="P79" i="1"/>
  <c r="N79" i="1"/>
  <c r="M79" i="1"/>
  <c r="K79" i="1"/>
  <c r="P78" i="1"/>
  <c r="N78" i="1"/>
  <c r="M78" i="1"/>
  <c r="K78" i="1"/>
  <c r="P77" i="1"/>
  <c r="N77" i="1"/>
  <c r="M77" i="1"/>
  <c r="K77" i="1"/>
  <c r="P76" i="1"/>
  <c r="N76" i="1"/>
  <c r="M76" i="1"/>
  <c r="K76" i="1"/>
  <c r="P75" i="1"/>
  <c r="N75" i="1"/>
  <c r="M75" i="1"/>
  <c r="K75" i="1"/>
  <c r="P74" i="1"/>
  <c r="N74" i="1"/>
  <c r="M74" i="1"/>
  <c r="K74" i="1"/>
  <c r="P73" i="1"/>
  <c r="N73" i="1"/>
  <c r="M73" i="1"/>
  <c r="K73" i="1"/>
  <c r="P72" i="1"/>
  <c r="N72" i="1"/>
  <c r="M72" i="1"/>
  <c r="K72" i="1"/>
  <c r="P71" i="1"/>
  <c r="N71" i="1"/>
  <c r="M71" i="1"/>
  <c r="K71" i="1"/>
  <c r="P70" i="1"/>
  <c r="N70" i="1"/>
  <c r="M70" i="1"/>
  <c r="K70" i="1"/>
  <c r="P69" i="1"/>
  <c r="N69" i="1"/>
  <c r="M69" i="1"/>
  <c r="K69" i="1"/>
  <c r="P68" i="1"/>
  <c r="N68" i="1"/>
  <c r="M68" i="1"/>
  <c r="K68" i="1"/>
  <c r="P67" i="1"/>
  <c r="N67" i="1"/>
  <c r="M67" i="1"/>
  <c r="K67" i="1"/>
  <c r="P66" i="1"/>
  <c r="N66" i="1"/>
  <c r="M66" i="1"/>
  <c r="K66" i="1"/>
  <c r="P65" i="1"/>
  <c r="N65" i="1"/>
  <c r="M65" i="1"/>
  <c r="K65" i="1"/>
  <c r="P64" i="1"/>
  <c r="N64" i="1"/>
  <c r="M64" i="1"/>
  <c r="K64" i="1"/>
  <c r="P63" i="1"/>
  <c r="N63" i="1"/>
  <c r="M63" i="1"/>
  <c r="K63" i="1"/>
  <c r="P62" i="1"/>
  <c r="N62" i="1"/>
  <c r="M62" i="1"/>
  <c r="K62" i="1"/>
  <c r="P61" i="1"/>
  <c r="N61" i="1"/>
  <c r="M61" i="1"/>
  <c r="K61" i="1"/>
  <c r="P60" i="1"/>
  <c r="N60" i="1"/>
  <c r="M60" i="1"/>
  <c r="K60" i="1"/>
  <c r="P59" i="1"/>
  <c r="N59" i="1"/>
  <c r="M59" i="1"/>
  <c r="K59" i="1"/>
  <c r="P58" i="1"/>
  <c r="N58" i="1"/>
  <c r="M58" i="1"/>
  <c r="K58" i="1"/>
  <c r="P57" i="1"/>
  <c r="N57" i="1"/>
  <c r="M57" i="1"/>
  <c r="K57" i="1"/>
  <c r="P56" i="1"/>
  <c r="N56" i="1"/>
  <c r="M56" i="1"/>
  <c r="K56" i="1"/>
  <c r="P55" i="1"/>
  <c r="N55" i="1"/>
  <c r="M55" i="1"/>
  <c r="K55" i="1"/>
  <c r="P54" i="1"/>
  <c r="N54" i="1"/>
  <c r="M54" i="1"/>
  <c r="K54" i="1"/>
  <c r="P53" i="1"/>
  <c r="N53" i="1"/>
  <c r="M53" i="1"/>
  <c r="K53" i="1"/>
  <c r="P52" i="1"/>
  <c r="N52" i="1"/>
  <c r="M52" i="1"/>
  <c r="K52" i="1"/>
  <c r="P51" i="1"/>
  <c r="N51" i="1"/>
  <c r="M51" i="1"/>
  <c r="K51" i="1"/>
  <c r="P50" i="1"/>
  <c r="N50" i="1"/>
  <c r="M50" i="1"/>
  <c r="K50" i="1"/>
  <c r="I50" i="1"/>
  <c r="P49" i="1"/>
  <c r="N49" i="1"/>
  <c r="M49" i="1"/>
  <c r="K49" i="1"/>
  <c r="P48" i="1"/>
  <c r="N48" i="1"/>
  <c r="M48" i="1"/>
  <c r="K48" i="1"/>
  <c r="P47" i="1"/>
  <c r="N47" i="1"/>
  <c r="M47" i="1"/>
  <c r="K47" i="1"/>
  <c r="P46" i="1"/>
  <c r="N46" i="1"/>
  <c r="M46" i="1"/>
  <c r="K46" i="1"/>
  <c r="P45" i="1"/>
  <c r="N45" i="1"/>
  <c r="M45" i="1"/>
  <c r="K45" i="1"/>
  <c r="P44" i="1"/>
  <c r="N44" i="1"/>
  <c r="M44" i="1"/>
  <c r="K44" i="1"/>
  <c r="P43" i="1"/>
  <c r="N43" i="1"/>
  <c r="M43" i="1"/>
  <c r="K43" i="1"/>
  <c r="P42" i="1"/>
  <c r="N42" i="1"/>
  <c r="M42" i="1"/>
  <c r="K42" i="1"/>
  <c r="P41" i="1"/>
  <c r="N41" i="1"/>
  <c r="M41" i="1"/>
  <c r="K41" i="1"/>
  <c r="P40" i="1"/>
  <c r="N40" i="1"/>
  <c r="M40" i="1"/>
  <c r="K40" i="1"/>
  <c r="P39" i="1"/>
  <c r="N39" i="1"/>
  <c r="M39" i="1"/>
  <c r="K39" i="1"/>
  <c r="P38" i="1"/>
  <c r="N38" i="1"/>
  <c r="M38" i="1"/>
  <c r="K38" i="1"/>
  <c r="P37" i="1"/>
  <c r="N37" i="1"/>
  <c r="M37" i="1"/>
  <c r="K37" i="1"/>
  <c r="P36" i="1"/>
  <c r="N36" i="1"/>
  <c r="M36" i="1"/>
  <c r="K36" i="1"/>
  <c r="P35" i="1"/>
  <c r="N35" i="1"/>
  <c r="M35" i="1"/>
  <c r="K35" i="1"/>
  <c r="P34" i="1"/>
  <c r="N34" i="1"/>
  <c r="M34" i="1"/>
  <c r="K34" i="1"/>
  <c r="P33" i="1"/>
  <c r="N33" i="1"/>
  <c r="M33" i="1"/>
  <c r="K33" i="1"/>
  <c r="P32" i="1"/>
  <c r="N32" i="1"/>
  <c r="M32" i="1"/>
  <c r="K32" i="1"/>
  <c r="P31" i="1"/>
  <c r="N31" i="1"/>
  <c r="M31" i="1"/>
  <c r="K31" i="1"/>
  <c r="P30" i="1"/>
  <c r="N30" i="1"/>
  <c r="M30" i="1"/>
  <c r="K30" i="1"/>
  <c r="P29" i="1"/>
  <c r="N29" i="1"/>
  <c r="M29" i="1"/>
  <c r="K29" i="1"/>
  <c r="P28" i="1"/>
  <c r="N28" i="1"/>
  <c r="M28" i="1"/>
  <c r="K28" i="1"/>
  <c r="P27" i="1"/>
  <c r="N27" i="1"/>
  <c r="M27" i="1"/>
  <c r="K27" i="1"/>
  <c r="P26" i="1"/>
  <c r="N26" i="1"/>
  <c r="M26" i="1"/>
  <c r="K26" i="1"/>
  <c r="P25" i="1"/>
  <c r="N25" i="1"/>
  <c r="M25" i="1"/>
  <c r="K25" i="1"/>
  <c r="P24" i="1"/>
  <c r="N24" i="1"/>
  <c r="M24" i="1"/>
  <c r="K24" i="1"/>
  <c r="P23" i="1"/>
  <c r="N23" i="1"/>
  <c r="M23" i="1"/>
  <c r="K23" i="1"/>
  <c r="P22" i="1"/>
  <c r="N22" i="1"/>
  <c r="M22" i="1"/>
  <c r="K22" i="1"/>
  <c r="P21" i="1"/>
  <c r="N21" i="1"/>
  <c r="M21" i="1"/>
  <c r="K21" i="1"/>
  <c r="P20" i="1"/>
  <c r="N20" i="1"/>
  <c r="M20" i="1"/>
  <c r="K20" i="1"/>
  <c r="P19" i="1"/>
  <c r="N19" i="1"/>
  <c r="M19" i="1"/>
  <c r="K19" i="1"/>
  <c r="P18" i="1"/>
  <c r="N18" i="1"/>
  <c r="M18" i="1"/>
  <c r="K18" i="1"/>
  <c r="P17" i="1"/>
  <c r="N17" i="1"/>
  <c r="M17" i="1"/>
  <c r="K17" i="1"/>
  <c r="P16" i="1"/>
  <c r="N16" i="1"/>
  <c r="M16" i="1"/>
  <c r="K16" i="1"/>
  <c r="P15" i="1"/>
  <c r="N15" i="1"/>
  <c r="M15" i="1"/>
  <c r="K15" i="1"/>
  <c r="P14" i="1"/>
  <c r="N14" i="1"/>
  <c r="M14" i="1"/>
  <c r="K14" i="1"/>
  <c r="P13" i="1"/>
  <c r="N13" i="1"/>
  <c r="M13" i="1"/>
  <c r="K13" i="1"/>
  <c r="P12" i="1"/>
  <c r="N12" i="1"/>
  <c r="M12" i="1"/>
  <c r="K12" i="1"/>
  <c r="P11" i="1"/>
  <c r="N11" i="1"/>
  <c r="M11" i="1"/>
  <c r="K11" i="1"/>
  <c r="P10" i="1"/>
  <c r="N10" i="1"/>
  <c r="M10" i="1"/>
  <c r="K10" i="1"/>
  <c r="P9" i="1"/>
  <c r="N9" i="1"/>
  <c r="M9" i="1"/>
  <c r="K9" i="1"/>
  <c r="I9" i="1"/>
  <c r="P8" i="1"/>
  <c r="N8" i="1"/>
  <c r="M8" i="1"/>
  <c r="K8" i="1"/>
  <c r="P7" i="1"/>
  <c r="N7" i="1"/>
  <c r="M7" i="1"/>
  <c r="K7" i="1"/>
  <c r="P6" i="1"/>
  <c r="N6" i="1"/>
  <c r="M6" i="1"/>
  <c r="K6" i="1"/>
  <c r="P5" i="1"/>
  <c r="N5" i="1"/>
  <c r="M5" i="1"/>
  <c r="K5" i="1"/>
  <c r="P4" i="1"/>
  <c r="N4" i="1"/>
  <c r="M4" i="1"/>
  <c r="K4" i="1"/>
  <c r="P3" i="1"/>
  <c r="N3" i="1"/>
  <c r="M3" i="1"/>
  <c r="K3" i="1"/>
</calcChain>
</file>

<file path=xl/sharedStrings.xml><?xml version="1.0" encoding="utf-8"?>
<sst xmlns="http://schemas.openxmlformats.org/spreadsheetml/2006/main" count="1046" uniqueCount="671">
  <si>
    <t>Drug_Name</t>
  </si>
  <si>
    <t>Cost_per_Unit</t>
  </si>
  <si>
    <t>J_Code</t>
  </si>
  <si>
    <t>Billing_Unit</t>
  </si>
  <si>
    <t>Medicare</t>
  </si>
  <si>
    <t>Wellmed</t>
  </si>
  <si>
    <t>Health Texas</t>
  </si>
  <si>
    <t>BCBS</t>
  </si>
  <si>
    <t>United Healthcare</t>
  </si>
  <si>
    <t>Aetna</t>
  </si>
  <si>
    <t>Humana</t>
  </si>
  <si>
    <t>Cigna</t>
  </si>
  <si>
    <t>Oscar Health</t>
  </si>
  <si>
    <t>Devoted Health</t>
  </si>
  <si>
    <t>Medicaid</t>
  </si>
  <si>
    <t>Triwest</t>
  </si>
  <si>
    <t>J0129</t>
  </si>
  <si>
    <t xml:space="preserve">Orencia (abatacept) Inj, 10mg </t>
  </si>
  <si>
    <t>10mg</t>
  </si>
  <si>
    <t>J0169</t>
  </si>
  <si>
    <t>Epinephrine (adrenaline) .1mg</t>
  </si>
  <si>
    <t>.1mg</t>
  </si>
  <si>
    <t>J0180</t>
  </si>
  <si>
    <t>Fabrazyme 1mg</t>
  </si>
  <si>
    <t>1mg</t>
  </si>
  <si>
    <t>J0185</t>
  </si>
  <si>
    <t xml:space="preserve">Cinvanti (aprepitant) 1mg </t>
  </si>
  <si>
    <t>J0461</t>
  </si>
  <si>
    <t>Atropine sulfate Inj, .01mg</t>
  </si>
  <si>
    <t>.01mg</t>
  </si>
  <si>
    <t>J0462</t>
  </si>
  <si>
    <t>Atropine sulfate, nte, .01mg</t>
  </si>
  <si>
    <t>not payable</t>
  </si>
  <si>
    <t>J0463</t>
  </si>
  <si>
    <t>Atropine (fresneius te) .01mg</t>
  </si>
  <si>
    <t>n/a</t>
  </si>
  <si>
    <t>pending</t>
  </si>
  <si>
    <t>J0490</t>
  </si>
  <si>
    <t>Benlysta (belimumab) 10mg</t>
  </si>
  <si>
    <t>J0491</t>
  </si>
  <si>
    <t>Saphnelo (Inj, anifrolumab-fnia) 1mg</t>
  </si>
  <si>
    <t>J0612</t>
  </si>
  <si>
    <t>Calcium gluconate Inj, 10mg, fresenius</t>
  </si>
  <si>
    <t>J0630</t>
  </si>
  <si>
    <t>Calcitonin (Salmon) 400iu 2ML (NO ASP)</t>
  </si>
  <si>
    <t>400iu</t>
  </si>
  <si>
    <t>J0640</t>
  </si>
  <si>
    <t>Leucovorin calcium Inj, 50mg</t>
  </si>
  <si>
    <t>50mg</t>
  </si>
  <si>
    <t>J0641</t>
  </si>
  <si>
    <t xml:space="preserve">(levoleucovorin NOS) Inj, .5mg </t>
  </si>
  <si>
    <t>.5mg</t>
  </si>
  <si>
    <t>J0642</t>
  </si>
  <si>
    <t>Khapzory (levoleucovorin) .5mg 505B2</t>
  </si>
  <si>
    <t>J0696</t>
  </si>
  <si>
    <t>Rocephin (ceftriaxone sodium) Inj, 250mg</t>
  </si>
  <si>
    <t>250mg</t>
  </si>
  <si>
    <t>J0780</t>
  </si>
  <si>
    <t>Prochlorpezaine 10mg</t>
  </si>
  <si>
    <t>J0870</t>
  </si>
  <si>
    <t xml:space="preserve">Rytelo (imetelstat) 1mg </t>
  </si>
  <si>
    <t>J0881</t>
  </si>
  <si>
    <t>Aranesp 1mcg</t>
  </si>
  <si>
    <t>1mcg</t>
  </si>
  <si>
    <t>J0885</t>
  </si>
  <si>
    <t>Procrit (epoetin alfa, non ESRD) per 1000u</t>
  </si>
  <si>
    <t>1000u</t>
  </si>
  <si>
    <t>J0893</t>
  </si>
  <si>
    <t>Decitabine (sun pharma) 1mg  (NO ASP)</t>
  </si>
  <si>
    <t>J0894</t>
  </si>
  <si>
    <t>Dacogen (decitabine) Inj, 1mg</t>
  </si>
  <si>
    <t>J0896</t>
  </si>
  <si>
    <t>Reblozyl (luspatercept-aamt) .25mg</t>
  </si>
  <si>
    <t>.25mg</t>
  </si>
  <si>
    <t>J0897</t>
  </si>
  <si>
    <t>Prolia (denosumab) Inj, 1mg</t>
  </si>
  <si>
    <t>Xgeva (denosumab) Inj, 1mg</t>
  </si>
  <si>
    <t>J1071</t>
  </si>
  <si>
    <t>Testosterone cypionate Inj, 1mg</t>
  </si>
  <si>
    <t>J1072</t>
  </si>
  <si>
    <t>Testosterone, azmiro 1mg</t>
  </si>
  <si>
    <t>J1100</t>
  </si>
  <si>
    <t>Decadron (dexamethasone) 1mg</t>
  </si>
  <si>
    <t>J1190</t>
  </si>
  <si>
    <t>Zinecard (dexrazoxane hcl) 250mg</t>
  </si>
  <si>
    <t>J1200</t>
  </si>
  <si>
    <t>Benadryl (diphenhydramine hcl) Inj, 50mg</t>
  </si>
  <si>
    <t>J1201</t>
  </si>
  <si>
    <t>Quzyttir (cetirizine hydrochloride) .5mg</t>
  </si>
  <si>
    <t>J1299</t>
  </si>
  <si>
    <t>Eculizumab 2mg</t>
  </si>
  <si>
    <t>2mg</t>
  </si>
  <si>
    <t>J1302</t>
  </si>
  <si>
    <t>Enjaymo (sutimlimab-jom) 10mg</t>
  </si>
  <si>
    <t>J1303</t>
  </si>
  <si>
    <t>Ultomiris (ravulizumab-cwvz) 10mg</t>
  </si>
  <si>
    <t>J1308</t>
  </si>
  <si>
    <t>Famotidine .25mg</t>
  </si>
  <si>
    <t>J1323</t>
  </si>
  <si>
    <t>Elrexfio (Injection, elranatamab-bcmm, 1 mg)</t>
  </si>
  <si>
    <t>J1326</t>
  </si>
  <si>
    <t>Vyloy (zolbetuximab-clzb) 2mg</t>
  </si>
  <si>
    <t>J1434</t>
  </si>
  <si>
    <t>Focinvez (fosaprepitant) 1mg</t>
  </si>
  <si>
    <t>J1437</t>
  </si>
  <si>
    <t>Monoferric (ferric derisomaltase) 10mg 10ML</t>
  </si>
  <si>
    <t>J1439</t>
  </si>
  <si>
    <t>Injectafer (ferric carboxymaltos) Inj, 1mg 15ML</t>
  </si>
  <si>
    <t>J1442</t>
  </si>
  <si>
    <t>Neupogen (filgrastim, G-CSF) Inj, 1mcg</t>
  </si>
  <si>
    <t>J1447</t>
  </si>
  <si>
    <t>Granix (tbo-filgrastim) Inj, 1mcg</t>
  </si>
  <si>
    <t>J1448</t>
  </si>
  <si>
    <t>Cosela (trilaciclib) 1mg</t>
  </si>
  <si>
    <t>J1449</t>
  </si>
  <si>
    <t>Rolvedon( eflapegrastim-xnst) 0.1mg</t>
  </si>
  <si>
    <t>0.1mg</t>
  </si>
  <si>
    <t>J1453</t>
  </si>
  <si>
    <t>Emend (fosaprepitant) Inj 1mg</t>
  </si>
  <si>
    <t>J1454</t>
  </si>
  <si>
    <t>Akynzeo 235mg (fosnetupitant/Palonsetron)</t>
  </si>
  <si>
    <t>J1456</t>
  </si>
  <si>
    <t>Fosapreptiant Inj 1mg (Teva) NOT AVAIL ON MCKESSON</t>
  </si>
  <si>
    <t>J1459</t>
  </si>
  <si>
    <t>Privigen IVIG, 500mg</t>
  </si>
  <si>
    <t>500mg</t>
  </si>
  <si>
    <t>J1553</t>
  </si>
  <si>
    <t>Yimmugo 100mg</t>
  </si>
  <si>
    <t>100mg</t>
  </si>
  <si>
    <t>J1559</t>
  </si>
  <si>
    <t>Hizentra IVIG 100mg</t>
  </si>
  <si>
    <t>J1561</t>
  </si>
  <si>
    <t>Gamunex IVIG, 500mg</t>
  </si>
  <si>
    <t>Gammaked IVIG 500mg</t>
  </si>
  <si>
    <t>J1566</t>
  </si>
  <si>
    <t>Gammagard IVIG, 500mg LOW IGA</t>
  </si>
  <si>
    <t>J1568</t>
  </si>
  <si>
    <t>Octagam IVIG, 500mg</t>
  </si>
  <si>
    <t>J1569</t>
  </si>
  <si>
    <t>Gammagard IVIG, 500mg</t>
  </si>
  <si>
    <t>J1575</t>
  </si>
  <si>
    <t>Hyqvia (immune globulin) 100mg SQ</t>
  </si>
  <si>
    <t>J1576</t>
  </si>
  <si>
    <t>Panzyga 500mg</t>
  </si>
  <si>
    <t>J1580</t>
  </si>
  <si>
    <t>Garamycin gentamicin Inj, 80mg</t>
  </si>
  <si>
    <t>80mg</t>
  </si>
  <si>
    <t>J1602</t>
  </si>
  <si>
    <t>Simponi Aria (golimumab) 1mg</t>
  </si>
  <si>
    <t>J1626</t>
  </si>
  <si>
    <t>Kytril (granisetron hcl) Inj, 100mcg</t>
  </si>
  <si>
    <t>100mcg</t>
  </si>
  <si>
    <t>J1627</t>
  </si>
  <si>
    <t>Sustol (granisetron extended release) 0.1mg</t>
  </si>
  <si>
    <t>J1652</t>
  </si>
  <si>
    <t xml:space="preserve">Arixtra (fondaparinux) Inj, .5mg </t>
  </si>
  <si>
    <t>J1740</t>
  </si>
  <si>
    <t>Boniva (ibandronate sodium) Inj, 1mg</t>
  </si>
  <si>
    <t>J1745</t>
  </si>
  <si>
    <t>Remicade Inj, 10mg ( branded)</t>
  </si>
  <si>
    <t>Infliximab Inj, 10mg ( generic)</t>
  </si>
  <si>
    <t>J1748</t>
  </si>
  <si>
    <t>Zymfentra (infliximab-dyyb) 10mg NO ASP</t>
  </si>
  <si>
    <t>J1750</t>
  </si>
  <si>
    <t>Infed (iron dextran) Inj, 50mg 2ML</t>
  </si>
  <si>
    <t>J1756</t>
  </si>
  <si>
    <t>Venofer (iron sucrose) Inj, 1mg</t>
  </si>
  <si>
    <t>Iron Sucrose (generic to Venofer) 1mg</t>
  </si>
  <si>
    <t>J1808</t>
  </si>
  <si>
    <t>Folic Acid .1mg</t>
  </si>
  <si>
    <t>J1836</t>
  </si>
  <si>
    <t>Flagyl (metronidazole) 10mg</t>
  </si>
  <si>
    <t>J1930</t>
  </si>
  <si>
    <t>Somatuline Depot 1mg</t>
  </si>
  <si>
    <t>lanreotide, cipla, 1mg (therapeutically equivalent)</t>
  </si>
  <si>
    <t>J1932</t>
  </si>
  <si>
    <t>Lanreotide, cipla, 1mg NOT AVAIL ON MCKESSON</t>
  </si>
  <si>
    <t>J1938</t>
  </si>
  <si>
    <t>Furosemide 1mg</t>
  </si>
  <si>
    <t>J1950</t>
  </si>
  <si>
    <t>Lupron Acetate 3.75mg</t>
  </si>
  <si>
    <t>3.75mg</t>
  </si>
  <si>
    <t>J1952</t>
  </si>
  <si>
    <t>Camcevi, Leuoprolide Inj, 1mg</t>
  </si>
  <si>
    <t>J1954</t>
  </si>
  <si>
    <t>Lutrate Depot (leuprolide) 7.5mg (22.5mg vial size only)</t>
  </si>
  <si>
    <t>7.5mg</t>
  </si>
  <si>
    <t>J2060</t>
  </si>
  <si>
    <t>Lorezepam, 2mg</t>
  </si>
  <si>
    <t>J2151</t>
  </si>
  <si>
    <t>Mannitol 250mg</t>
  </si>
  <si>
    <t>J2353</t>
  </si>
  <si>
    <t>Sandostatin (octreotide) Lar Depot Inj, 1mg</t>
  </si>
  <si>
    <t>Octreotide Acetate Depot, (Teva) 1mg</t>
  </si>
  <si>
    <t>J2405</t>
  </si>
  <si>
    <t>Zofran (ondansetron hcl) Inj, 1mg</t>
  </si>
  <si>
    <t>J2430</t>
  </si>
  <si>
    <t>Aredia (pamidronate disodium) Inj, 30mg</t>
  </si>
  <si>
    <t>30mg</t>
  </si>
  <si>
    <t>J2468</t>
  </si>
  <si>
    <t xml:space="preserve">Posfrea (palonosetron) 25mcg </t>
  </si>
  <si>
    <t>25mcg</t>
  </si>
  <si>
    <t>J2469</t>
  </si>
  <si>
    <t>Aloxi (palonosetron hcl) 25mcg</t>
  </si>
  <si>
    <t>J2506</t>
  </si>
  <si>
    <t>Neulasta (Pegfilgrastim) .5mg  Syringe/On-Pro</t>
  </si>
  <si>
    <t>J2507</t>
  </si>
  <si>
    <t>Krystexxa (pegloticase Inj) 1mg</t>
  </si>
  <si>
    <t>J2597</t>
  </si>
  <si>
    <t>Desmopressin Acetate (DDAVP) Inj, 1mcg</t>
  </si>
  <si>
    <t>J2783</t>
  </si>
  <si>
    <t>Elitek (rasburicase) .5mg</t>
  </si>
  <si>
    <t>J2791</t>
  </si>
  <si>
    <t>Rhophylac (immune globuline) 100iu</t>
  </si>
  <si>
    <t>100iu</t>
  </si>
  <si>
    <t>J2792</t>
  </si>
  <si>
    <t>WinRho (Rho (D) immune globulin h) 100IU</t>
  </si>
  <si>
    <t>100IU</t>
  </si>
  <si>
    <t>J2802</t>
  </si>
  <si>
    <t>Romiplostim, 1mcg</t>
  </si>
  <si>
    <t>J2916</t>
  </si>
  <si>
    <t>Ferrlecit (Na ferric gluconate complex) 12.5mg</t>
  </si>
  <si>
    <t>12.5mg</t>
  </si>
  <si>
    <t>J2919</t>
  </si>
  <si>
    <t>Methylpred sod succ 5mg</t>
  </si>
  <si>
    <t>5mg</t>
  </si>
  <si>
    <t>J2997</t>
  </si>
  <si>
    <t>Alteplase Recombiant, 1mg</t>
  </si>
  <si>
    <t>J3055</t>
  </si>
  <si>
    <t>Talvey (talquetamab-tgvs) .25mg</t>
  </si>
  <si>
    <t>J3111</t>
  </si>
  <si>
    <t>Evenity (romosuzumab aqqg) 1mg</t>
  </si>
  <si>
    <t>J3241</t>
  </si>
  <si>
    <t>Tepezza (teprotumumab-trbw) 10mg</t>
  </si>
  <si>
    <t>J3260</t>
  </si>
  <si>
    <t>Tobramycin sulfate Inj, 80mg</t>
  </si>
  <si>
    <t>J3262</t>
  </si>
  <si>
    <t>Actemra (tocilizumab) Inj, 1mg</t>
  </si>
  <si>
    <t>J3315</t>
  </si>
  <si>
    <t>Trelstar (triptorelin pamoate) 3.75mg</t>
  </si>
  <si>
    <t>J3360</t>
  </si>
  <si>
    <t>Versed (diazepam) Inj, 5mg</t>
  </si>
  <si>
    <t>J3420</t>
  </si>
  <si>
    <t>Vitamin B12 (cyanocobalamin) IM INJ 1000mcg</t>
  </si>
  <si>
    <t>1000mcg</t>
  </si>
  <si>
    <t>J3475</t>
  </si>
  <si>
    <t>Magnesium 500mg</t>
  </si>
  <si>
    <t>J3480</t>
  </si>
  <si>
    <t>Potassium 2MEQ</t>
  </si>
  <si>
    <t>2MEQ</t>
  </si>
  <si>
    <t>J3489</t>
  </si>
  <si>
    <t>Reclast (zoledronic Acid) 1mg</t>
  </si>
  <si>
    <t>Zometa (zoledronic Acid) 1mg</t>
  </si>
  <si>
    <t>J3490</t>
  </si>
  <si>
    <t>Vykoura (leucovorin calcium) WAC=125</t>
  </si>
  <si>
    <t>J3590</t>
  </si>
  <si>
    <t>Keytruda Qlex 395mg SQ WAC=$12031.36  USE J9277</t>
  </si>
  <si>
    <t>Keytruda Qlex 790mg SQ WAC=$24062.72 USE J9277</t>
  </si>
  <si>
    <t>Rybrevant FasPro 1600mg WAC=12382.65</t>
  </si>
  <si>
    <t>Rybrevant FasPro 2240mg WAC=17335.71</t>
  </si>
  <si>
    <t>Rybrevant FasPro 2400mg WAC=18573.97</t>
  </si>
  <si>
    <t>Rybrevant FasPro 3520mg WAC=27241.83</t>
  </si>
  <si>
    <t>J9000</t>
  </si>
  <si>
    <t>Adriamycin (doxorubic hcl) Inj, 10mg</t>
  </si>
  <si>
    <t>J9011</t>
  </si>
  <si>
    <t>Datroway (datopotamab deruxtecan-dnlk) 1mg</t>
  </si>
  <si>
    <t>J9017</t>
  </si>
  <si>
    <t>Trisenox (arsenic trioxide) Inj, 1mg</t>
  </si>
  <si>
    <t>J9022</t>
  </si>
  <si>
    <t xml:space="preserve">Tecentriq (atezolizumab) 10mg </t>
  </si>
  <si>
    <t>J9023</t>
  </si>
  <si>
    <t>Bavencio (avelumab) 10mg</t>
  </si>
  <si>
    <t>J9024</t>
  </si>
  <si>
    <t>Tecentriq Hybreza (atezolizumab/hyaluroidase)-tqjs</t>
  </si>
  <si>
    <t>J9025</t>
  </si>
  <si>
    <t>Vidaza (azacitidine) Inj, 1mg</t>
  </si>
  <si>
    <t>J9026</t>
  </si>
  <si>
    <t>Imdelltra (tarlatamab-dlle), 1 mg injection</t>
  </si>
  <si>
    <t>J9027</t>
  </si>
  <si>
    <t>Clofarabine Inj, 1mg</t>
  </si>
  <si>
    <t>J9028</t>
  </si>
  <si>
    <t>Anktiva (nogapendekin pmln) 1mcg</t>
  </si>
  <si>
    <t>J9032</t>
  </si>
  <si>
    <t>Beleodaq (belinostat) 10mg</t>
  </si>
  <si>
    <t>J9033</t>
  </si>
  <si>
    <t>Treanda (bendamustine hydrochorlide) Inj, 1mg Teva</t>
  </si>
  <si>
    <t>Bendamustine Hydrocholoride ( generic to Treanda) 1mg</t>
  </si>
  <si>
    <t>J9034</t>
  </si>
  <si>
    <t xml:space="preserve">Bendeka (bendamustine HCL) 1mg </t>
  </si>
  <si>
    <t>J9035</t>
  </si>
  <si>
    <t>Avastin (bevacizumab) Inj, 10mg Genentech</t>
  </si>
  <si>
    <t>J9036</t>
  </si>
  <si>
    <t>Belrapzo 1mg (Eagle Pharm)</t>
  </si>
  <si>
    <t xml:space="preserve">Bendamustine( Apotex) 1mg </t>
  </si>
  <si>
    <t>J9039</t>
  </si>
  <si>
    <t>Blincyto (blinatumomab) 1mcg</t>
  </si>
  <si>
    <t>J9040</t>
  </si>
  <si>
    <t>bleomycin sulfate Inj, 15units</t>
  </si>
  <si>
    <t>15units</t>
  </si>
  <si>
    <t>J9041</t>
  </si>
  <si>
    <t>Bortezomib Inj, SubQ .1mg, (generic 3.5mg) NOS</t>
  </si>
  <si>
    <t>J9042</t>
  </si>
  <si>
    <t>Adcetris (brentuximab vedotin) 1mg</t>
  </si>
  <si>
    <t>J9043</t>
  </si>
  <si>
    <t>Jevtana (cabazitazel) Inj, 1mg</t>
  </si>
  <si>
    <t>J9045</t>
  </si>
  <si>
    <t>Carboplatin Inj 50mg</t>
  </si>
  <si>
    <t>J9047</t>
  </si>
  <si>
    <t>Kyprolis (carfilzomib) Inj, 1mg</t>
  </si>
  <si>
    <t>J9049</t>
  </si>
  <si>
    <t>Bortezomib Inj, .1mg (hospira) 1mg and 2.5mg</t>
  </si>
  <si>
    <t>8.00,4.29</t>
  </si>
  <si>
    <t>J9054</t>
  </si>
  <si>
    <t xml:space="preserve">Boruzu (bortezomib) 3.5mg (Amneal) </t>
  </si>
  <si>
    <t>J9055</t>
  </si>
  <si>
    <t>Erbitux (cetuximab) Inj, 10mg</t>
  </si>
  <si>
    <t>J9056</t>
  </si>
  <si>
    <t>Vivimusta (generic to Treanda) 1mg Slayback Pharma</t>
  </si>
  <si>
    <t>J9060</t>
  </si>
  <si>
    <t>Cisplatin Inj 10mg</t>
  </si>
  <si>
    <t>J9061</t>
  </si>
  <si>
    <t>Rybrevant (amivantamab-vmjw) 2mg</t>
  </si>
  <si>
    <t>J9063</t>
  </si>
  <si>
    <t>Elahere (mirvetuximab-soravtansine gnx) 1mg</t>
  </si>
  <si>
    <t>J9065</t>
  </si>
  <si>
    <t>Cladribine Inj 1mg</t>
  </si>
  <si>
    <t>J9071</t>
  </si>
  <si>
    <t>Cyclophosphamide 5mg (Auromedics)</t>
  </si>
  <si>
    <t>J9072</t>
  </si>
  <si>
    <t>Cyclophosphamide (Frindovyx) 5mg</t>
  </si>
  <si>
    <t>J9073</t>
  </si>
  <si>
    <t>Cyclophosphamide (Dr Reddys) 5mg</t>
  </si>
  <si>
    <t>J9074</t>
  </si>
  <si>
    <t>Cyclophosphamide (Sandoz) 5mg</t>
  </si>
  <si>
    <t>J9075</t>
  </si>
  <si>
    <t>Cyclophosphamide NOS 5mg</t>
  </si>
  <si>
    <t>J9076</t>
  </si>
  <si>
    <t>Cyclophosphamide, Baxter, 5mg</t>
  </si>
  <si>
    <t>J9100</t>
  </si>
  <si>
    <t>Cytarabine Hcl Inj 100mg</t>
  </si>
  <si>
    <t>J9119</t>
  </si>
  <si>
    <t>Libtayo 1mg (cemiplimab riolx)</t>
  </si>
  <si>
    <t>J9130</t>
  </si>
  <si>
    <t>Dacarbazine Inj 100mg</t>
  </si>
  <si>
    <t>J9144</t>
  </si>
  <si>
    <t>Darzalex FasPro (daratumumab) 10mg</t>
  </si>
  <si>
    <t>J9145</t>
  </si>
  <si>
    <t>Darzalex (daratumumab) 10mg</t>
  </si>
  <si>
    <t>J9150</t>
  </si>
  <si>
    <t>Daunorubicin Inj 10mg</t>
  </si>
  <si>
    <t>J9153</t>
  </si>
  <si>
    <t>Vyxeos (daunorubicin, cytarabine) 1mg/2.27mg 505B2</t>
  </si>
  <si>
    <t>1mg/2.27mg</t>
  </si>
  <si>
    <t>J9155</t>
  </si>
  <si>
    <t>Firmagon (degarelix) Inj 1mg</t>
  </si>
  <si>
    <t>J9171</t>
  </si>
  <si>
    <t>Taxotere (docetaxel) Inj, 1mg</t>
  </si>
  <si>
    <t>J9172</t>
  </si>
  <si>
    <t>Docivyx (Docetaxel)(Ingenus) 1mg 505B2</t>
  </si>
  <si>
    <t>J9173</t>
  </si>
  <si>
    <t>Imfinzi (durvalumab) 10mg</t>
  </si>
  <si>
    <t>J9174</t>
  </si>
  <si>
    <t>Beizray (docetaxel) 1mg 505B2 WAC=895</t>
  </si>
  <si>
    <t>J9176</t>
  </si>
  <si>
    <t>Empliciti (elotuzumab) 1mg</t>
  </si>
  <si>
    <t>J9177</t>
  </si>
  <si>
    <t>Padcev (enfort vedo-ejfv) .25mg</t>
  </si>
  <si>
    <t>J9178</t>
  </si>
  <si>
    <t>Ellence (Epirubicin) hcl Inj, 2mg</t>
  </si>
  <si>
    <t>J9179</t>
  </si>
  <si>
    <t>Halaven (eribulin mesylate) Inj, 0.1mg</t>
  </si>
  <si>
    <t>eribulin mesylate Inj, 0.1mg (generic)</t>
  </si>
  <si>
    <t>J9181</t>
  </si>
  <si>
    <t>VP 16 (etoposide,toposar) Inj, 10mg</t>
  </si>
  <si>
    <t>J9184</t>
  </si>
  <si>
    <t>Avgemsi (gemcitabine) 200mg 505B2</t>
  </si>
  <si>
    <t>200mg</t>
  </si>
  <si>
    <t>J9185</t>
  </si>
  <si>
    <t>Fludarabine phosphate Inj 50mg</t>
  </si>
  <si>
    <t>J9190</t>
  </si>
  <si>
    <t>5FU (fluorouracil) Inj, 500mg</t>
  </si>
  <si>
    <t>J9196</t>
  </si>
  <si>
    <t>Gemcitabine hcl (Accord) 200mg</t>
  </si>
  <si>
    <t>J9201</t>
  </si>
  <si>
    <t>Gemzar (gemcitabine hcl) Inj, 200mg</t>
  </si>
  <si>
    <t>J9202</t>
  </si>
  <si>
    <t>Zoladex (goserelin acetate implant) 3.6mg NO ASP</t>
  </si>
  <si>
    <t>3.6mg</t>
  </si>
  <si>
    <t>J9204</t>
  </si>
  <si>
    <t>Poteligeo (mogamulizumab-kpkc) 1mg</t>
  </si>
  <si>
    <t>J9205</t>
  </si>
  <si>
    <t>Onivyde (irinotecan liposome inject) 1mg</t>
  </si>
  <si>
    <t>J9206</t>
  </si>
  <si>
    <t>Camptospar (irinotecan) Inj, 20mg</t>
  </si>
  <si>
    <t>20mg</t>
  </si>
  <si>
    <t>J9207</t>
  </si>
  <si>
    <t>Ixempra (ixabepilone) Inj, 1mg</t>
  </si>
  <si>
    <t>J9208</t>
  </si>
  <si>
    <t>Ifosfamide Inj 1gm</t>
  </si>
  <si>
    <t>1gm</t>
  </si>
  <si>
    <t>J9209</t>
  </si>
  <si>
    <t>Mesna Inj 200mg</t>
  </si>
  <si>
    <t>J9211</t>
  </si>
  <si>
    <t>Idarubicin hcl Inj 5mg</t>
  </si>
  <si>
    <t>J9217</t>
  </si>
  <si>
    <t>Eligard (leuprolide acetate supsension) 7.5mg</t>
  </si>
  <si>
    <t>Lupron Suspension 7.5mg</t>
  </si>
  <si>
    <t>J9223</t>
  </si>
  <si>
    <t>Zepzelca (lurbinectedin) .1mg</t>
  </si>
  <si>
    <t>J9227</t>
  </si>
  <si>
    <t>Sarclisa (isatuximab-irfc) 10mg</t>
  </si>
  <si>
    <t>J9228</t>
  </si>
  <si>
    <t>Yervoy (ipilimumab) Inj, 1mg</t>
  </si>
  <si>
    <t>J9256</t>
  </si>
  <si>
    <t>Imaavy (nipocalimab-aahu) 3mg</t>
  </si>
  <si>
    <t xml:space="preserve">3mg </t>
  </si>
  <si>
    <t>J9260</t>
  </si>
  <si>
    <t>Methotrexate sodium Inj 50mg</t>
  </si>
  <si>
    <t>J9263</t>
  </si>
  <si>
    <t>Eloxatin (oxaliplatin) .5mg</t>
  </si>
  <si>
    <t>J9264</t>
  </si>
  <si>
    <t xml:space="preserve">Abraxane (paclitaxel protein bound) 1mg </t>
  </si>
  <si>
    <t>NAB paclitaxel protein bound 1mg (teva)</t>
  </si>
  <si>
    <t>J9267</t>
  </si>
  <si>
    <t>Taxol (paclitaxel) Inj, 1mg</t>
  </si>
  <si>
    <t>J9268</t>
  </si>
  <si>
    <t>Nipent (pentostatin) Inj 10mg</t>
  </si>
  <si>
    <t>J9271</t>
  </si>
  <si>
    <t>Keytruda (pembrolizumab) 1mg</t>
  </si>
  <si>
    <t>J9272</t>
  </si>
  <si>
    <t>Jemperli (dostarlimab-gxly) 10mg</t>
  </si>
  <si>
    <t>J9273</t>
  </si>
  <si>
    <t>Tivdak (tisotu vedotin-ttfv) 1mg</t>
  </si>
  <si>
    <t>J9274</t>
  </si>
  <si>
    <t>Kimmtrak (tebentafusp-tebn) 1mcg</t>
  </si>
  <si>
    <t>J9276</t>
  </si>
  <si>
    <t>Ziihera (zanidatamab-hrii) 2mg</t>
  </si>
  <si>
    <t>J9277</t>
  </si>
  <si>
    <t>Keytruda Qlex 395mg SQ Vial WAC=$12272</t>
  </si>
  <si>
    <t>Keytruda Qlex 790mg SQ WAC=$24544</t>
  </si>
  <si>
    <t>J9278</t>
  </si>
  <si>
    <t>Kyxata Carboplatin Inj 1mg (Avyxa) 500mg MDV WAC=$2500</t>
  </si>
  <si>
    <t>J9280</t>
  </si>
  <si>
    <t>Mitomycin Inj 5mg</t>
  </si>
  <si>
    <t>J9286</t>
  </si>
  <si>
    <t>Columvi (inj, glofitamab gbxm) 2.5mg</t>
  </si>
  <si>
    <t>2.5mg</t>
  </si>
  <si>
    <t>J9289</t>
  </si>
  <si>
    <t xml:space="preserve">Opdivo Qvantig (nivolumab+hyaluronidase-nv) 2mg </t>
  </si>
  <si>
    <t>J9292</t>
  </si>
  <si>
    <t>Axtle (pemetrexed) 10mg 505B2</t>
  </si>
  <si>
    <t>J9293</t>
  </si>
  <si>
    <t>Novantrone (mitoxantrone hydrochl) 5mg</t>
  </si>
  <si>
    <t>J9294</t>
  </si>
  <si>
    <t>Pemetrexed, hospira, 10mg</t>
  </si>
  <si>
    <t>J9296</t>
  </si>
  <si>
    <t>Pemetrexed, accord, 10mg</t>
  </si>
  <si>
    <t>J9297</t>
  </si>
  <si>
    <t>Pemetrexed, sandoz, 10mg 505B2</t>
  </si>
  <si>
    <t>J9298</t>
  </si>
  <si>
    <t>Opdualag 3mg/1mg</t>
  </si>
  <si>
    <t>3mg/1mg</t>
  </si>
  <si>
    <t>J9299</t>
  </si>
  <si>
    <t>Opdivo (nivolumab) 1mg</t>
  </si>
  <si>
    <t>J9301</t>
  </si>
  <si>
    <t>Gazyva (obinutuzumab) Inj, 10mg</t>
  </si>
  <si>
    <t>J9303</t>
  </si>
  <si>
    <t>Vectibix (panitumumab) Inj, 10mg</t>
  </si>
  <si>
    <t>J9304</t>
  </si>
  <si>
    <t>Pemfexy (pemetrexed) Inj, 10mg 505B2</t>
  </si>
  <si>
    <t>J9305</t>
  </si>
  <si>
    <t>Alimta (pemetrexed) Inj, 10mg Eli Lilly</t>
  </si>
  <si>
    <t>Pemetrexed Inj, 10mg (generic) NOS</t>
  </si>
  <si>
    <t>J9306</t>
  </si>
  <si>
    <t>Perjeta (pertuzumab) Inj,1mg NOS</t>
  </si>
  <si>
    <t>J9307</t>
  </si>
  <si>
    <t>Folotyn (pralatrexate) Inj, 1mg branded</t>
  </si>
  <si>
    <t>Folotyn (pralatrexate) Inj, 1mg generic</t>
  </si>
  <si>
    <t>J9308</t>
  </si>
  <si>
    <t>Cyramza (ramucirumab) 5mg</t>
  </si>
  <si>
    <t>J9309</t>
  </si>
  <si>
    <t>Polivy (polatuzumab vedontin) 1mg</t>
  </si>
  <si>
    <t>J9311</t>
  </si>
  <si>
    <t>Rituxan Hycela 10mg</t>
  </si>
  <si>
    <t>J9312</t>
  </si>
  <si>
    <t>Rituxan (rituximab) Inj, 10 mg</t>
  </si>
  <si>
    <t>J9314</t>
  </si>
  <si>
    <t>Pemetrexed (teva) 10mg NOT AVAIL ON MCKESSON</t>
  </si>
  <si>
    <t>J9316</t>
  </si>
  <si>
    <t>Phesgo (Pertuzumab-trastuzumab-hy-zzxf) 10mg</t>
  </si>
  <si>
    <t>J9317</t>
  </si>
  <si>
    <t>Trodelvy (sacituzumab-govitecan-hziy) 2.5mg</t>
  </si>
  <si>
    <t>J9318</t>
  </si>
  <si>
    <t>Romidepsin, non-lyo, .1mg</t>
  </si>
  <si>
    <t>J9319</t>
  </si>
  <si>
    <t>Istodax (romidepsin) 0.1mg (generic)</t>
  </si>
  <si>
    <t>Istodax (romidepsin) 0.1mg (branded)</t>
  </si>
  <si>
    <t>J9321</t>
  </si>
  <si>
    <t>Epkinly (epcoritamab-bysp) .16mg</t>
  </si>
  <si>
    <t>.16mg</t>
  </si>
  <si>
    <t>J9323</t>
  </si>
  <si>
    <t>Pemetrexed ditromethamin, inj, 10mg</t>
  </si>
  <si>
    <t>WAC</t>
  </si>
  <si>
    <t>J9324</t>
  </si>
  <si>
    <t>Pemetrexed (pemrydi ritu) 10mg  505B2</t>
  </si>
  <si>
    <t>J9325</t>
  </si>
  <si>
    <t>Imlygic (talimogene laherparepvec) 1 million PFU</t>
  </si>
  <si>
    <t>1M PFU</t>
  </si>
  <si>
    <t>J9326</t>
  </si>
  <si>
    <t>Emrelis (telisotuzumab vedotin-tilv) 1mg</t>
  </si>
  <si>
    <t>J9329</t>
  </si>
  <si>
    <t>Tevimbra (tislelizumab) 1mg</t>
  </si>
  <si>
    <t>J9330</t>
  </si>
  <si>
    <t>Torisel (temsirolimus) Inj, 1mg (generic)</t>
  </si>
  <si>
    <t>J9332</t>
  </si>
  <si>
    <t>Vyvgart (efgartigimod) 2mg</t>
  </si>
  <si>
    <t>J9333</t>
  </si>
  <si>
    <t>Ronzanolixizum-noli (Rystiggo) 1mg</t>
  </si>
  <si>
    <t>J9334</t>
  </si>
  <si>
    <t>Etgart-Alfa hya-qvtc (Vyvgart Hytrulo) 2mg</t>
  </si>
  <si>
    <t>J9341</t>
  </si>
  <si>
    <t>Tepylute (thiotepa 5052b)</t>
  </si>
  <si>
    <t>J9342</t>
  </si>
  <si>
    <t>Thiotepa, nos, 1mg</t>
  </si>
  <si>
    <t>J9345</t>
  </si>
  <si>
    <t>Zynyz (inj, retifanlimab-dlwr) 1mg</t>
  </si>
  <si>
    <t>J9347</t>
  </si>
  <si>
    <t xml:space="preserve">Imjudo (tremelimumab-actl) 1mg </t>
  </si>
  <si>
    <t>J9348</t>
  </si>
  <si>
    <t>Danyelza (naxitamab-gqgk), 1mg</t>
  </si>
  <si>
    <t>J9349</t>
  </si>
  <si>
    <t>Monjuvi (tafasitamab.cxix) 2mg</t>
  </si>
  <si>
    <t>J9350</t>
  </si>
  <si>
    <t>Lunsumio (mosunetuzmab-axgb) 1mg</t>
  </si>
  <si>
    <t>Lunsumio Velo (mosunetuzmab-axgb) 1mg SQ</t>
  </si>
  <si>
    <t>J9351</t>
  </si>
  <si>
    <t>Hycamtin (topotecan) Inj, .1mg</t>
  </si>
  <si>
    <t>J9352</t>
  </si>
  <si>
    <t>Yondelis (trabectedin) .1mg</t>
  </si>
  <si>
    <t>J9353</t>
  </si>
  <si>
    <t>Margenza (margetuximab-cmkb) 5mg</t>
  </si>
  <si>
    <t>J9354</t>
  </si>
  <si>
    <t>Kadcyla (ado-trastuzumab emtansine) 1mg</t>
  </si>
  <si>
    <t>J9355</t>
  </si>
  <si>
    <t>Herceptin (trastuzumab) Inj, 10mg</t>
  </si>
  <si>
    <t>J9356</t>
  </si>
  <si>
    <t>Herceptin Hylecta 10mg</t>
  </si>
  <si>
    <t>J9358</t>
  </si>
  <si>
    <t xml:space="preserve">Enhertu (trastuzumab deruxtecan) 1mg </t>
  </si>
  <si>
    <t>J9359</t>
  </si>
  <si>
    <t>Zynlonta (loncastuximab tesirine-lbyl) .075mg</t>
  </si>
  <si>
    <t>.075mg</t>
  </si>
  <si>
    <t>J9360</t>
  </si>
  <si>
    <t>Vinblastine sulfate Inj, 1mg</t>
  </si>
  <si>
    <t>J9370</t>
  </si>
  <si>
    <t>Vincristine sulfate Inj, 1mg</t>
  </si>
  <si>
    <t>J9380</t>
  </si>
  <si>
    <t>Tecvayli (teclistamab cqyv) .5mg</t>
  </si>
  <si>
    <t>J9382</t>
  </si>
  <si>
    <t>Bizengri (zenocutuzumab-zbco) 1mg</t>
  </si>
  <si>
    <t>J9390</t>
  </si>
  <si>
    <t>Navelbine (vinorelbine tartrate) Inj, 10mg</t>
  </si>
  <si>
    <t>J9394</t>
  </si>
  <si>
    <t>Fulvestrant (fresenius) 25mg</t>
  </si>
  <si>
    <t>25mg</t>
  </si>
  <si>
    <t>J9395</t>
  </si>
  <si>
    <t>Fulvestrant Inj, 25mg ( generic)</t>
  </si>
  <si>
    <t>J9400</t>
  </si>
  <si>
    <t>Zaltrap 1mg (ziv-aflibercept) Inj, 1mg</t>
  </si>
  <si>
    <t>J9601</t>
  </si>
  <si>
    <t>Lynozyfic (linvoseltamab-gcpt) 1mg</t>
  </si>
  <si>
    <t>J9999</t>
  </si>
  <si>
    <t>Kyxata (carboplatin 50mg) 5052b WAC=2500 USE J9278</t>
  </si>
  <si>
    <t>Blenrep TBD--REMS HAS TO BE COMPLETED</t>
  </si>
  <si>
    <t>P9046</t>
  </si>
  <si>
    <t>Albumin (Human) 20ML</t>
  </si>
  <si>
    <t>20ML</t>
  </si>
  <si>
    <t>P9047</t>
  </si>
  <si>
    <t>Albumin (Human), 25%, 50ML</t>
  </si>
  <si>
    <t>50ML</t>
  </si>
  <si>
    <t>Q0138</t>
  </si>
  <si>
    <t>Feraheme (ferumoxytol) Non-ESRD 1mg</t>
  </si>
  <si>
    <t>Ferumoxytol (generic Feraheme)</t>
  </si>
  <si>
    <t>Q2043</t>
  </si>
  <si>
    <t>Provenge (per infusion/Min 50Million Cells)</t>
  </si>
  <si>
    <t>dendreon</t>
  </si>
  <si>
    <t>Q2050</t>
  </si>
  <si>
    <t>Doxil Inj 10mg</t>
  </si>
  <si>
    <t>Q5101</t>
  </si>
  <si>
    <t>Zarxio (filgrastim sndz) 1mcg</t>
  </si>
  <si>
    <t>Q5103</t>
  </si>
  <si>
    <t>Inflectra (infliximab dyyb) 10mg</t>
  </si>
  <si>
    <t>Q5104</t>
  </si>
  <si>
    <t>Renflexis (infliximab abda) 10mg</t>
  </si>
  <si>
    <t>Q5106</t>
  </si>
  <si>
    <t>Retacrit (epotein alfa epbx) 1000iu, Non ESRD</t>
  </si>
  <si>
    <t>1000iu</t>
  </si>
  <si>
    <t>Q5107</t>
  </si>
  <si>
    <t>Mvasi (bevacizumab awwb) 10mg</t>
  </si>
  <si>
    <t>Q5108</t>
  </si>
  <si>
    <t>Fulphila (pegfilgrastim jmdb) .5mg</t>
  </si>
  <si>
    <t>Q5110</t>
  </si>
  <si>
    <t>Nivestym (filgrastim affi) 1mcg</t>
  </si>
  <si>
    <t>Q5111</t>
  </si>
  <si>
    <t>Udenyca (pegfilgrastim cbqv) .5mg/Udenyca On-Body</t>
  </si>
  <si>
    <t>Q5112</t>
  </si>
  <si>
    <t>Ontruzant (trastuzumab-dttb) 10mg</t>
  </si>
  <si>
    <t>Q5113</t>
  </si>
  <si>
    <t>Herzuma (trastuzumab pkrb) 10mg</t>
  </si>
  <si>
    <t>Q5114</t>
  </si>
  <si>
    <t>Ogivri (trastuzumab dkst) 10mg</t>
  </si>
  <si>
    <t>Q5115</t>
  </si>
  <si>
    <t>Truxima (rituximab abbs) 10mg</t>
  </si>
  <si>
    <t>Q5116</t>
  </si>
  <si>
    <t>Trazimera (trastuzumab-qyyp) 10mg</t>
  </si>
  <si>
    <t>Q5117</t>
  </si>
  <si>
    <t>Kanjinti (trastuzumab anns) 10mg</t>
  </si>
  <si>
    <t>Q5118</t>
  </si>
  <si>
    <t>Zirabev (bevacizumab-bvzr) 10mg</t>
  </si>
  <si>
    <t>Q5119</t>
  </si>
  <si>
    <t>Ruxience (rituximab-pvvr) 10mg</t>
  </si>
  <si>
    <t>Q5120</t>
  </si>
  <si>
    <t xml:space="preserve">Ziextenzo (pegfilgrastim bmez) .5mg </t>
  </si>
  <si>
    <t>Q5121</t>
  </si>
  <si>
    <t>Avsola (infliximab aqqx) 10mg</t>
  </si>
  <si>
    <t>Q5122</t>
  </si>
  <si>
    <t>Nyvepria (pegfilgrastim-apqf) .5mg</t>
  </si>
  <si>
    <t>Q5123</t>
  </si>
  <si>
    <t>Riabni (rituximab-arrx) 10mg</t>
  </si>
  <si>
    <t>Q5125</t>
  </si>
  <si>
    <t>Releuko (filgrastim-ayow) 1mg</t>
  </si>
  <si>
    <t>Q5126</t>
  </si>
  <si>
    <t>Alymsys (bevacizumab-maly) 10mg</t>
  </si>
  <si>
    <t>Q5127</t>
  </si>
  <si>
    <t>Stimufend (pegfilgrastim fpgk) .5mg</t>
  </si>
  <si>
    <t>Q5128</t>
  </si>
  <si>
    <t>Cimerli, 0.1mg</t>
  </si>
  <si>
    <t>Q5129</t>
  </si>
  <si>
    <t>Vegzelma (bevacizumab-abcd) 10mg</t>
  </si>
  <si>
    <t>Q5130</t>
  </si>
  <si>
    <t>Fylnetra (pegfilgrastim-pbbx) .5mg</t>
  </si>
  <si>
    <t>Q5133</t>
  </si>
  <si>
    <t>Tofidence (tocilizumab-bavi) 1mg (actemra biosim)</t>
  </si>
  <si>
    <t>Q5134</t>
  </si>
  <si>
    <t>Tyruko (nabalizumab-sztn) 1mg</t>
  </si>
  <si>
    <t>Q5135</t>
  </si>
  <si>
    <t>Tyenne (tocilizumab-aazg) 1mg (actemra biosim)</t>
  </si>
  <si>
    <t>Q5136</t>
  </si>
  <si>
    <t>Jubbonti (denosumab-bbdz) 1mg (prolia biosim)</t>
  </si>
  <si>
    <t xml:space="preserve">Wyost (denosumab-bbdz) 1mg (xgeva biosim) </t>
  </si>
  <si>
    <t>Q5146</t>
  </si>
  <si>
    <t>Hercessi (trastuzumab-strf) 10mg 150mg SDV/420 MDV</t>
  </si>
  <si>
    <t>Q5148</t>
  </si>
  <si>
    <t>Nypozi (filgrastim-txid) 1mcg</t>
  </si>
  <si>
    <t>Q5151</t>
  </si>
  <si>
    <t>Epysqli (eculizumab-aagh) 2mg</t>
  </si>
  <si>
    <t>Q5152</t>
  </si>
  <si>
    <t>Bkemv (eculizumab-aeeb) 2mg</t>
  </si>
  <si>
    <t>Q5156</t>
  </si>
  <si>
    <t>Avtozma (tocilizumab-anoh), 1mg</t>
  </si>
  <si>
    <t>Q5157</t>
  </si>
  <si>
    <t xml:space="preserve">Osenvelt (denosumab-bmwo) 1mg (xgeva biosimiliar) </t>
  </si>
  <si>
    <t xml:space="preserve">Stoboclo (denosumab-bmwo) 1mg (prolia biosimilar) </t>
  </si>
  <si>
    <t>Q5158</t>
  </si>
  <si>
    <t xml:space="preserve">Bomyntra (denosumab-bnht) 1mg (xgeva biosimilar) </t>
  </si>
  <si>
    <t xml:space="preserve">Conexxence (denosumab-bnht) 1mg (prolia biosimilar) </t>
  </si>
  <si>
    <t>Q5160</t>
  </si>
  <si>
    <t>Jobevne (bevacizumab-nwgd) 10mg WAC=796 per 100mg</t>
  </si>
  <si>
    <t>Q5162</t>
  </si>
  <si>
    <t>Bildyos (denosumab-brsz) 1mg (prolia biosimilar) WAC $844</t>
  </si>
  <si>
    <t>Bilprevda (denoumab-brsz) 1mg (xgeva biosimilar WAC $1688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</si>
</sst>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name val="Arial"/>
      <family val="2"/>
    </font>
    <font>
      <sz val="1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2" borderId="1" xfId="1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8" fontId="3" fillId="2" borderId="1" xfId="0" applyNumberFormat="1" applyFont="1" applyFill="1" applyBorder="1" applyAlignment="1">
      <alignment horizontal="center"/>
    </xf>
    <xf numFmtId="8" fontId="3" fillId="3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center"/>
    </xf>
    <xf numFmtId="8" fontId="5" fillId="2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0" borderId="0" xfId="0" applyFont="1"/>
    <xf numFmtId="8" fontId="3" fillId="5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5" fillId="4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7" fontId="5" fillId="2" borderId="1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CEE7-3BA2-414F-B17A-0CE6F359DBE0}">
  <dimension ref="A1:P319"/>
  <sheetViews>
    <sheetView tabSelected="1" zoomScale="224" zoomScaleNormal="229" workbookViewId="0">
      <selection activeCell="F8" sqref="F8"/>
    </sheetView>
  </sheetViews>
  <sheetFormatPr baseColWidth="10" defaultRowHeight="16" x14ac:dyDescent="0.2"/>
  <cols>
    <col min="1" max="1" width="11" bestFit="1" customWidth="1"/>
    <col min="2" max="2" width="45.83203125" bestFit="1" customWidth="1"/>
    <col min="4" max="4" width="12.83203125" bestFit="1" customWidth="1"/>
    <col min="6" max="6" width="8.5" bestFit="1" customWidth="1"/>
    <col min="8" max="8" width="8.83203125" bestFit="1" customWidth="1"/>
    <col min="9" max="9" width="16.1640625" bestFit="1" customWidth="1"/>
    <col min="10" max="10" width="6" bestFit="1" customWidth="1"/>
    <col min="11" max="11" width="8.1640625" bestFit="1" customWidth="1"/>
    <col min="12" max="12" width="6" bestFit="1" customWidth="1"/>
    <col min="13" max="13" width="12" bestFit="1" customWidth="1"/>
    <col min="14" max="14" width="13.83203125" bestFit="1" customWidth="1"/>
    <col min="15" max="15" width="8.6640625" bestFit="1" customWidth="1"/>
    <col min="16" max="16" width="7.1640625" bestFit="1" customWidth="1"/>
  </cols>
  <sheetData>
    <row r="1" spans="1:16" x14ac:dyDescent="0.2">
      <c r="A1" s="1" t="s">
        <v>2</v>
      </c>
      <c r="B1" s="1" t="s">
        <v>0</v>
      </c>
      <c r="C1" s="1" t="s">
        <v>3</v>
      </c>
      <c r="D1" s="1" t="s">
        <v>1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3" spans="1:16" x14ac:dyDescent="0.2">
      <c r="A3" s="2" t="s">
        <v>16</v>
      </c>
      <c r="B3" s="2" t="s">
        <v>17</v>
      </c>
      <c r="C3" s="3" t="s">
        <v>18</v>
      </c>
      <c r="D3" s="4">
        <v>41.37</v>
      </c>
      <c r="E3" s="4">
        <v>44.72</v>
      </c>
      <c r="F3" s="4">
        <v>44.72</v>
      </c>
      <c r="G3" s="4">
        <v>44.72</v>
      </c>
      <c r="H3" s="5">
        <v>46.04</v>
      </c>
      <c r="I3" s="4">
        <v>44.77</v>
      </c>
      <c r="J3" s="4">
        <v>44.77</v>
      </c>
      <c r="K3" s="4">
        <f>E3</f>
        <v>44.72</v>
      </c>
      <c r="L3" s="4">
        <v>44.77</v>
      </c>
      <c r="M3" s="4">
        <f t="shared" ref="M3:M66" si="0">E3*1.05</f>
        <v>46.956000000000003</v>
      </c>
      <c r="N3" s="4">
        <f>E3*1.05</f>
        <v>46.956000000000003</v>
      </c>
      <c r="O3" s="6">
        <v>44.49</v>
      </c>
      <c r="P3" s="4">
        <f t="shared" ref="P3:P12" si="1">E3*0.75</f>
        <v>33.54</v>
      </c>
    </row>
    <row r="4" spans="1:16" x14ac:dyDescent="0.2">
      <c r="A4" s="2" t="s">
        <v>19</v>
      </c>
      <c r="B4" s="2" t="s">
        <v>20</v>
      </c>
      <c r="C4" s="3" t="s">
        <v>21</v>
      </c>
      <c r="D4" s="4">
        <v>0.84</v>
      </c>
      <c r="E4" s="4">
        <v>0.87</v>
      </c>
      <c r="F4" s="4">
        <v>0.87</v>
      </c>
      <c r="G4" s="4">
        <v>0.87</v>
      </c>
      <c r="H4" s="5">
        <v>1.36</v>
      </c>
      <c r="I4" s="4">
        <v>1.38</v>
      </c>
      <c r="J4" s="4">
        <v>1.38</v>
      </c>
      <c r="K4" s="4">
        <f t="shared" ref="K4:K69" si="2">E4</f>
        <v>0.87</v>
      </c>
      <c r="L4" s="4">
        <v>1.38</v>
      </c>
      <c r="M4" s="4">
        <f t="shared" si="0"/>
        <v>0.91349999999999998</v>
      </c>
      <c r="N4" s="4">
        <f t="shared" ref="N4:N67" si="3">E4*1.05</f>
        <v>0.91349999999999998</v>
      </c>
      <c r="O4" s="6">
        <v>1.36</v>
      </c>
      <c r="P4" s="4">
        <f t="shared" si="1"/>
        <v>0.65249999999999997</v>
      </c>
    </row>
    <row r="5" spans="1:16" x14ac:dyDescent="0.2">
      <c r="A5" s="2" t="s">
        <v>22</v>
      </c>
      <c r="B5" s="2" t="s">
        <v>23</v>
      </c>
      <c r="C5" s="3" t="s">
        <v>24</v>
      </c>
      <c r="D5" s="4">
        <v>237.22</v>
      </c>
      <c r="E5" s="4">
        <v>227.58</v>
      </c>
      <c r="F5" s="4">
        <v>227.58</v>
      </c>
      <c r="G5" s="4">
        <v>227.58</v>
      </c>
      <c r="H5" s="5">
        <v>214.66</v>
      </c>
      <c r="I5" s="4">
        <v>230.32</v>
      </c>
      <c r="J5" s="4">
        <v>230.32</v>
      </c>
      <c r="K5" s="4">
        <f t="shared" si="2"/>
        <v>227.58</v>
      </c>
      <c r="L5" s="4">
        <v>230.32</v>
      </c>
      <c r="M5" s="4">
        <f t="shared" si="0"/>
        <v>238.95900000000003</v>
      </c>
      <c r="N5" s="4">
        <f t="shared" si="3"/>
        <v>238.95900000000003</v>
      </c>
      <c r="O5" s="6">
        <v>230.26</v>
      </c>
      <c r="P5" s="4">
        <f t="shared" si="1"/>
        <v>170.685</v>
      </c>
    </row>
    <row r="6" spans="1:16" x14ac:dyDescent="0.2">
      <c r="A6" s="2" t="s">
        <v>25</v>
      </c>
      <c r="B6" s="2" t="s">
        <v>26</v>
      </c>
      <c r="C6" s="3" t="s">
        <v>24</v>
      </c>
      <c r="D6" s="4">
        <v>1.6</v>
      </c>
      <c r="E6" s="4">
        <v>1.69</v>
      </c>
      <c r="F6" s="4">
        <v>1.69</v>
      </c>
      <c r="G6" s="4">
        <v>1.69</v>
      </c>
      <c r="H6" s="5">
        <v>3.53</v>
      </c>
      <c r="I6" s="4">
        <v>1.71</v>
      </c>
      <c r="J6" s="4">
        <v>1.71</v>
      </c>
      <c r="K6" s="4">
        <f t="shared" si="2"/>
        <v>1.69</v>
      </c>
      <c r="L6" s="4">
        <v>1.71</v>
      </c>
      <c r="M6" s="4">
        <f t="shared" si="0"/>
        <v>1.7745</v>
      </c>
      <c r="N6" s="4">
        <f t="shared" si="3"/>
        <v>1.7745</v>
      </c>
      <c r="O6" s="6">
        <v>1.77</v>
      </c>
      <c r="P6" s="4">
        <f t="shared" si="1"/>
        <v>1.2675000000000001</v>
      </c>
    </row>
    <row r="7" spans="1:16" x14ac:dyDescent="0.2">
      <c r="A7" s="2" t="s">
        <v>27</v>
      </c>
      <c r="B7" s="2" t="s">
        <v>28</v>
      </c>
      <c r="C7" s="3" t="s">
        <v>29</v>
      </c>
      <c r="D7" s="4">
        <v>0.03</v>
      </c>
      <c r="E7" s="4">
        <v>0.1</v>
      </c>
      <c r="F7" s="4">
        <v>0.1</v>
      </c>
      <c r="G7" s="4">
        <v>0.1</v>
      </c>
      <c r="H7" s="5">
        <v>0.05</v>
      </c>
      <c r="I7" s="4">
        <v>0.1</v>
      </c>
      <c r="J7" s="4">
        <v>0.1</v>
      </c>
      <c r="K7" s="4">
        <f t="shared" si="2"/>
        <v>0.1</v>
      </c>
      <c r="L7" s="4">
        <v>0.1</v>
      </c>
      <c r="M7" s="4">
        <f t="shared" si="0"/>
        <v>0.10500000000000001</v>
      </c>
      <c r="N7" s="4">
        <f t="shared" si="3"/>
        <v>0.10500000000000001</v>
      </c>
      <c r="O7" s="6">
        <v>7.0000000000000007E-2</v>
      </c>
      <c r="P7" s="4">
        <f t="shared" si="1"/>
        <v>7.5000000000000011E-2</v>
      </c>
    </row>
    <row r="8" spans="1:16" x14ac:dyDescent="0.2">
      <c r="A8" s="2" t="s">
        <v>30</v>
      </c>
      <c r="B8" s="2" t="s">
        <v>31</v>
      </c>
      <c r="C8" s="3" t="s">
        <v>29</v>
      </c>
      <c r="D8" s="4">
        <v>0.12</v>
      </c>
      <c r="E8" s="4">
        <v>0.1</v>
      </c>
      <c r="F8" s="4">
        <v>0.1</v>
      </c>
      <c r="G8" s="4">
        <v>0.1</v>
      </c>
      <c r="H8" s="5">
        <v>0.14000000000000001</v>
      </c>
      <c r="I8" s="4">
        <v>0.13</v>
      </c>
      <c r="J8" s="4">
        <v>0.13</v>
      </c>
      <c r="K8" s="4">
        <f t="shared" si="2"/>
        <v>0.1</v>
      </c>
      <c r="L8" s="4">
        <v>0.13</v>
      </c>
      <c r="M8" s="4">
        <f t="shared" si="0"/>
        <v>0.10500000000000001</v>
      </c>
      <c r="N8" s="4">
        <f t="shared" si="3"/>
        <v>0.10500000000000001</v>
      </c>
      <c r="O8" s="7" t="s">
        <v>32</v>
      </c>
      <c r="P8" s="4">
        <f t="shared" si="1"/>
        <v>7.5000000000000011E-2</v>
      </c>
    </row>
    <row r="9" spans="1:16" x14ac:dyDescent="0.2">
      <c r="A9" s="8" t="s">
        <v>33</v>
      </c>
      <c r="B9" s="8" t="s">
        <v>34</v>
      </c>
      <c r="C9" s="3" t="s">
        <v>29</v>
      </c>
      <c r="D9" s="9" t="s">
        <v>35</v>
      </c>
      <c r="E9" s="4">
        <v>0.01</v>
      </c>
      <c r="F9" s="4">
        <v>0.01</v>
      </c>
      <c r="G9" s="4">
        <v>0.01</v>
      </c>
      <c r="H9" s="5" t="s">
        <v>36</v>
      </c>
      <c r="I9" s="4" t="e">
        <f>#REF!*0.4</f>
        <v>#REF!</v>
      </c>
      <c r="J9" s="4">
        <v>0.01</v>
      </c>
      <c r="K9" s="4">
        <f t="shared" si="2"/>
        <v>0.01</v>
      </c>
      <c r="L9" s="4">
        <v>0.01</v>
      </c>
      <c r="M9" s="4">
        <f t="shared" si="0"/>
        <v>1.0500000000000001E-2</v>
      </c>
      <c r="N9" s="4">
        <f t="shared" si="3"/>
        <v>1.0500000000000001E-2</v>
      </c>
      <c r="O9" s="7" t="s">
        <v>32</v>
      </c>
      <c r="P9" s="4">
        <f t="shared" si="1"/>
        <v>7.4999999999999997E-3</v>
      </c>
    </row>
    <row r="10" spans="1:16" x14ac:dyDescent="0.2">
      <c r="A10" s="2" t="s">
        <v>37</v>
      </c>
      <c r="B10" s="2" t="s">
        <v>38</v>
      </c>
      <c r="C10" s="3" t="s">
        <v>18</v>
      </c>
      <c r="D10" s="4">
        <v>55.03</v>
      </c>
      <c r="E10" s="4">
        <v>57.19</v>
      </c>
      <c r="F10" s="4">
        <v>57.19</v>
      </c>
      <c r="G10" s="4">
        <v>57.19</v>
      </c>
      <c r="H10" s="5">
        <v>51.41</v>
      </c>
      <c r="I10" s="4">
        <v>57.16</v>
      </c>
      <c r="J10" s="4">
        <v>57.16</v>
      </c>
      <c r="K10" s="4">
        <f t="shared" si="2"/>
        <v>57.19</v>
      </c>
      <c r="L10" s="4">
        <v>57.16</v>
      </c>
      <c r="M10" s="4">
        <f t="shared" si="0"/>
        <v>60.049500000000002</v>
      </c>
      <c r="N10" s="4">
        <f t="shared" si="3"/>
        <v>60.049500000000002</v>
      </c>
      <c r="O10" s="6">
        <v>56.01</v>
      </c>
      <c r="P10" s="4">
        <f t="shared" si="1"/>
        <v>42.892499999999998</v>
      </c>
    </row>
    <row r="11" spans="1:16" x14ac:dyDescent="0.2">
      <c r="A11" s="2" t="s">
        <v>39</v>
      </c>
      <c r="B11" s="2" t="s">
        <v>40</v>
      </c>
      <c r="C11" s="3" t="s">
        <v>24</v>
      </c>
      <c r="D11" s="4">
        <v>18.41</v>
      </c>
      <c r="E11" s="4">
        <v>18.309999999999999</v>
      </c>
      <c r="F11" s="4">
        <v>18.309999999999999</v>
      </c>
      <c r="G11" s="4">
        <v>18.309999999999999</v>
      </c>
      <c r="H11" s="5">
        <v>17.97</v>
      </c>
      <c r="I11" s="4">
        <v>18.34</v>
      </c>
      <c r="J11" s="4">
        <v>18.34</v>
      </c>
      <c r="K11" s="4">
        <f t="shared" si="2"/>
        <v>18.309999999999999</v>
      </c>
      <c r="L11" s="4">
        <v>18.34</v>
      </c>
      <c r="M11" s="4">
        <f t="shared" si="0"/>
        <v>19.2255</v>
      </c>
      <c r="N11" s="4">
        <f t="shared" si="3"/>
        <v>19.2255</v>
      </c>
      <c r="O11" s="6">
        <v>18.100000000000001</v>
      </c>
      <c r="P11" s="4">
        <f t="shared" si="1"/>
        <v>13.732499999999998</v>
      </c>
    </row>
    <row r="12" spans="1:16" x14ac:dyDescent="0.2">
      <c r="A12" s="2" t="s">
        <v>41</v>
      </c>
      <c r="B12" s="2" t="s">
        <v>42</v>
      </c>
      <c r="C12" s="3" t="s">
        <v>18</v>
      </c>
      <c r="D12" s="4">
        <v>0.1</v>
      </c>
      <c r="E12" s="4">
        <v>0.03</v>
      </c>
      <c r="F12" s="4">
        <v>0.03</v>
      </c>
      <c r="G12" s="4">
        <v>0.03</v>
      </c>
      <c r="H12" s="5">
        <v>0.04</v>
      </c>
      <c r="I12" s="4">
        <v>0.03</v>
      </c>
      <c r="J12" s="4">
        <v>0.03</v>
      </c>
      <c r="K12" s="4">
        <f t="shared" si="2"/>
        <v>0.03</v>
      </c>
      <c r="L12" s="4">
        <v>0.03</v>
      </c>
      <c r="M12" s="4">
        <f t="shared" si="0"/>
        <v>3.15E-2</v>
      </c>
      <c r="N12" s="4">
        <f t="shared" si="3"/>
        <v>3.15E-2</v>
      </c>
      <c r="O12" s="10">
        <v>0.04</v>
      </c>
      <c r="P12" s="4">
        <f t="shared" si="1"/>
        <v>2.2499999999999999E-2</v>
      </c>
    </row>
    <row r="13" spans="1:16" x14ac:dyDescent="0.2">
      <c r="A13" s="11" t="s">
        <v>43</v>
      </c>
      <c r="B13" s="11" t="s">
        <v>44</v>
      </c>
      <c r="C13" s="3" t="s">
        <v>45</v>
      </c>
      <c r="D13" s="4">
        <v>1480.67</v>
      </c>
      <c r="E13" s="9">
        <v>1142.4100000000001</v>
      </c>
      <c r="F13" s="4">
        <v>1142.4100000000001</v>
      </c>
      <c r="G13" s="4">
        <v>1142.4100000000001</v>
      </c>
      <c r="H13" s="5">
        <v>1036.8</v>
      </c>
      <c r="I13" s="4">
        <v>800</v>
      </c>
      <c r="J13" s="4">
        <v>1476</v>
      </c>
      <c r="K13" s="4">
        <f t="shared" si="2"/>
        <v>1142.4100000000001</v>
      </c>
      <c r="L13" s="4">
        <v>816</v>
      </c>
      <c r="M13" s="4">
        <f t="shared" si="0"/>
        <v>1199.5305000000001</v>
      </c>
      <c r="N13" s="4">
        <f t="shared" si="3"/>
        <v>1199.5305000000001</v>
      </c>
      <c r="O13" s="10">
        <v>816</v>
      </c>
      <c r="P13" s="4">
        <f>1030*0.75</f>
        <v>772.5</v>
      </c>
    </row>
    <row r="14" spans="1:16" x14ac:dyDescent="0.2">
      <c r="A14" s="2" t="s">
        <v>46</v>
      </c>
      <c r="B14" s="2" t="s">
        <v>47</v>
      </c>
      <c r="C14" s="3" t="s">
        <v>48</v>
      </c>
      <c r="D14" s="4">
        <v>4.9800000000000004</v>
      </c>
      <c r="E14" s="4">
        <v>3.59</v>
      </c>
      <c r="F14" s="4">
        <v>3.59</v>
      </c>
      <c r="G14" s="4">
        <v>3.59</v>
      </c>
      <c r="H14" s="5">
        <v>2.57</v>
      </c>
      <c r="I14" s="4">
        <v>4.37</v>
      </c>
      <c r="J14" s="4">
        <v>3.84</v>
      </c>
      <c r="K14" s="4">
        <f t="shared" si="2"/>
        <v>3.59</v>
      </c>
      <c r="L14" s="4">
        <v>3.84</v>
      </c>
      <c r="M14" s="4">
        <f t="shared" si="0"/>
        <v>3.7694999999999999</v>
      </c>
      <c r="N14" s="4">
        <f t="shared" si="3"/>
        <v>3.7694999999999999</v>
      </c>
      <c r="O14" s="6">
        <v>3.95</v>
      </c>
      <c r="P14" s="4">
        <f t="shared" ref="P14:P77" si="4">E14*0.75</f>
        <v>2.6924999999999999</v>
      </c>
    </row>
    <row r="15" spans="1:16" x14ac:dyDescent="0.2">
      <c r="A15" s="2" t="s">
        <v>49</v>
      </c>
      <c r="B15" s="2" t="s">
        <v>50</v>
      </c>
      <c r="C15" s="3" t="s">
        <v>51</v>
      </c>
      <c r="D15" s="4">
        <v>0.08</v>
      </c>
      <c r="E15" s="4">
        <v>0.05</v>
      </c>
      <c r="F15" s="4">
        <v>0.05</v>
      </c>
      <c r="G15" s="4">
        <v>0.05</v>
      </c>
      <c r="H15" s="5">
        <v>0.32</v>
      </c>
      <c r="I15" s="4">
        <v>0.06</v>
      </c>
      <c r="J15" s="4">
        <v>0.05</v>
      </c>
      <c r="K15" s="4">
        <f t="shared" si="2"/>
        <v>0.05</v>
      </c>
      <c r="L15" s="4">
        <v>0.05</v>
      </c>
      <c r="M15" s="4">
        <f t="shared" si="0"/>
        <v>5.2500000000000005E-2</v>
      </c>
      <c r="N15" s="4">
        <f t="shared" si="3"/>
        <v>5.2500000000000005E-2</v>
      </c>
      <c r="O15" s="6">
        <v>0.41</v>
      </c>
      <c r="P15" s="4">
        <f t="shared" si="4"/>
        <v>3.7500000000000006E-2</v>
      </c>
    </row>
    <row r="16" spans="1:16" x14ac:dyDescent="0.2">
      <c r="A16" s="2" t="s">
        <v>52</v>
      </c>
      <c r="B16" s="2" t="s">
        <v>53</v>
      </c>
      <c r="C16" s="3" t="s">
        <v>51</v>
      </c>
      <c r="D16" s="4">
        <v>2.13</v>
      </c>
      <c r="E16" s="4">
        <v>1.29</v>
      </c>
      <c r="F16" s="4">
        <v>1.29</v>
      </c>
      <c r="G16" s="4">
        <v>1.29</v>
      </c>
      <c r="H16" s="5">
        <v>2.09</v>
      </c>
      <c r="I16" s="4">
        <v>1.57</v>
      </c>
      <c r="J16" s="4">
        <v>1.41</v>
      </c>
      <c r="K16" s="4">
        <f t="shared" si="2"/>
        <v>1.29</v>
      </c>
      <c r="L16" s="4">
        <v>1.41</v>
      </c>
      <c r="M16" s="4">
        <f t="shared" si="0"/>
        <v>1.3545</v>
      </c>
      <c r="N16" s="4">
        <f t="shared" si="3"/>
        <v>1.3545</v>
      </c>
      <c r="O16" s="7" t="s">
        <v>32</v>
      </c>
      <c r="P16" s="4">
        <f t="shared" si="4"/>
        <v>0.96750000000000003</v>
      </c>
    </row>
    <row r="17" spans="1:16" x14ac:dyDescent="0.2">
      <c r="A17" s="2" t="s">
        <v>54</v>
      </c>
      <c r="B17" s="2" t="s">
        <v>55</v>
      </c>
      <c r="C17" s="3" t="s">
        <v>56</v>
      </c>
      <c r="D17" s="4">
        <v>0.37</v>
      </c>
      <c r="E17" s="4">
        <v>0.43</v>
      </c>
      <c r="F17" s="4">
        <v>0.43</v>
      </c>
      <c r="G17" s="4">
        <v>0.43</v>
      </c>
      <c r="H17" s="5">
        <v>0.26</v>
      </c>
      <c r="I17" s="4">
        <v>0.46</v>
      </c>
      <c r="J17" s="4">
        <v>0.46</v>
      </c>
      <c r="K17" s="4">
        <f t="shared" si="2"/>
        <v>0.43</v>
      </c>
      <c r="L17" s="4">
        <v>0.46</v>
      </c>
      <c r="M17" s="4">
        <f t="shared" si="0"/>
        <v>0.45150000000000001</v>
      </c>
      <c r="N17" s="4">
        <f t="shared" si="3"/>
        <v>0.45150000000000001</v>
      </c>
      <c r="O17" s="6">
        <v>0.48</v>
      </c>
      <c r="P17" s="4">
        <f t="shared" si="4"/>
        <v>0.32250000000000001</v>
      </c>
    </row>
    <row r="18" spans="1:16" x14ac:dyDescent="0.2">
      <c r="A18" s="2" t="s">
        <v>57</v>
      </c>
      <c r="B18" s="12" t="s">
        <v>58</v>
      </c>
      <c r="C18" s="3" t="s">
        <v>18</v>
      </c>
      <c r="D18" s="4">
        <v>5.5</v>
      </c>
      <c r="E18" s="4">
        <v>3.33</v>
      </c>
      <c r="F18" s="4">
        <v>3.33</v>
      </c>
      <c r="G18" s="4">
        <v>3.33</v>
      </c>
      <c r="H18" s="5">
        <v>3.89</v>
      </c>
      <c r="I18" s="4">
        <v>2.81</v>
      </c>
      <c r="J18" s="4">
        <v>2.52</v>
      </c>
      <c r="K18" s="4">
        <f t="shared" si="2"/>
        <v>3.33</v>
      </c>
      <c r="L18" s="4">
        <v>2.52</v>
      </c>
      <c r="M18" s="4">
        <f t="shared" si="0"/>
        <v>3.4965000000000002</v>
      </c>
      <c r="N18" s="4">
        <f t="shared" si="3"/>
        <v>3.4965000000000002</v>
      </c>
      <c r="O18" s="6">
        <v>2.52</v>
      </c>
      <c r="P18" s="4">
        <f t="shared" si="4"/>
        <v>2.4975000000000001</v>
      </c>
    </row>
    <row r="19" spans="1:16" x14ac:dyDescent="0.2">
      <c r="A19" s="2" t="s">
        <v>59</v>
      </c>
      <c r="B19" s="2" t="s">
        <v>60</v>
      </c>
      <c r="C19" s="3" t="s">
        <v>24</v>
      </c>
      <c r="D19" s="4">
        <v>56.05</v>
      </c>
      <c r="E19" s="4">
        <v>58.17</v>
      </c>
      <c r="F19" s="4">
        <v>58.17</v>
      </c>
      <c r="G19" s="4">
        <v>58.17</v>
      </c>
      <c r="H19" s="5">
        <v>56.07</v>
      </c>
      <c r="I19" s="4">
        <v>58.3</v>
      </c>
      <c r="J19" s="4">
        <v>58.3</v>
      </c>
      <c r="K19" s="4">
        <f t="shared" si="2"/>
        <v>58.17</v>
      </c>
      <c r="L19" s="4">
        <v>58.3</v>
      </c>
      <c r="M19" s="4">
        <f t="shared" si="0"/>
        <v>61.078500000000005</v>
      </c>
      <c r="N19" s="4">
        <f t="shared" si="3"/>
        <v>61.078500000000005</v>
      </c>
      <c r="O19" s="6">
        <v>57.02</v>
      </c>
      <c r="P19" s="4">
        <f t="shared" si="4"/>
        <v>43.627499999999998</v>
      </c>
    </row>
    <row r="20" spans="1:16" x14ac:dyDescent="0.2">
      <c r="A20" s="2" t="s">
        <v>61</v>
      </c>
      <c r="B20" s="2" t="s">
        <v>62</v>
      </c>
      <c r="C20" s="3" t="s">
        <v>63</v>
      </c>
      <c r="D20" s="4">
        <v>2.76</v>
      </c>
      <c r="E20" s="4">
        <v>3.07</v>
      </c>
      <c r="F20" s="4">
        <v>3.07</v>
      </c>
      <c r="G20" s="4">
        <v>3.07</v>
      </c>
      <c r="H20" s="5">
        <v>3.3</v>
      </c>
      <c r="I20" s="4">
        <v>3.36</v>
      </c>
      <c r="J20" s="4">
        <v>3.02</v>
      </c>
      <c r="K20" s="4">
        <f t="shared" si="2"/>
        <v>3.07</v>
      </c>
      <c r="L20" s="4">
        <v>2.94</v>
      </c>
      <c r="M20" s="4">
        <f t="shared" si="0"/>
        <v>3.2235</v>
      </c>
      <c r="N20" s="4">
        <f t="shared" si="3"/>
        <v>3.2235</v>
      </c>
      <c r="O20" s="6">
        <v>3</v>
      </c>
      <c r="P20" s="4">
        <f t="shared" si="4"/>
        <v>2.3024999999999998</v>
      </c>
    </row>
    <row r="21" spans="1:16" x14ac:dyDescent="0.2">
      <c r="A21" s="2" t="s">
        <v>64</v>
      </c>
      <c r="B21" s="2" t="s">
        <v>65</v>
      </c>
      <c r="C21" s="3" t="s">
        <v>66</v>
      </c>
      <c r="D21" s="4">
        <v>7.59</v>
      </c>
      <c r="E21" s="4">
        <v>7.3049999999999997</v>
      </c>
      <c r="F21" s="4">
        <v>7.3049999999999997</v>
      </c>
      <c r="G21" s="4">
        <v>7.3049999999999997</v>
      </c>
      <c r="H21" s="5">
        <v>8.01</v>
      </c>
      <c r="I21" s="4">
        <v>8.6199999999999992</v>
      </c>
      <c r="J21" s="4">
        <v>7.74</v>
      </c>
      <c r="K21" s="4">
        <f t="shared" si="2"/>
        <v>7.3049999999999997</v>
      </c>
      <c r="L21" s="4">
        <v>7.74</v>
      </c>
      <c r="M21" s="4">
        <f t="shared" si="0"/>
        <v>7.6702500000000002</v>
      </c>
      <c r="N21" s="4">
        <f t="shared" si="3"/>
        <v>7.6702500000000002</v>
      </c>
      <c r="O21" s="6">
        <v>7.68</v>
      </c>
      <c r="P21" s="4">
        <f t="shared" si="4"/>
        <v>5.4787499999999998</v>
      </c>
    </row>
    <row r="22" spans="1:16" x14ac:dyDescent="0.2">
      <c r="A22" s="11" t="s">
        <v>67</v>
      </c>
      <c r="B22" s="11" t="s">
        <v>68</v>
      </c>
      <c r="C22" s="3" t="s">
        <v>24</v>
      </c>
      <c r="D22" s="9" t="s">
        <v>35</v>
      </c>
      <c r="E22" s="9">
        <v>0.78</v>
      </c>
      <c r="F22" s="4">
        <v>0.78</v>
      </c>
      <c r="G22" s="4">
        <v>0.78</v>
      </c>
      <c r="H22" s="5">
        <v>2.06</v>
      </c>
      <c r="I22" s="4">
        <v>0.87</v>
      </c>
      <c r="J22" s="4">
        <v>0.78</v>
      </c>
      <c r="K22" s="4">
        <f t="shared" si="2"/>
        <v>0.78</v>
      </c>
      <c r="L22" s="4">
        <v>0.78</v>
      </c>
      <c r="M22" s="4">
        <f t="shared" si="0"/>
        <v>0.81900000000000006</v>
      </c>
      <c r="N22" s="4">
        <f t="shared" si="3"/>
        <v>0.81900000000000006</v>
      </c>
      <c r="O22" s="6">
        <v>0.78</v>
      </c>
      <c r="P22" s="4">
        <f t="shared" si="4"/>
        <v>0.58499999999999996</v>
      </c>
    </row>
    <row r="23" spans="1:16" x14ac:dyDescent="0.2">
      <c r="A23" s="2" t="s">
        <v>69</v>
      </c>
      <c r="B23" s="2" t="s">
        <v>70</v>
      </c>
      <c r="C23" s="3" t="s">
        <v>24</v>
      </c>
      <c r="D23" s="4">
        <v>0.63</v>
      </c>
      <c r="E23" s="4">
        <v>1</v>
      </c>
      <c r="F23" s="4">
        <v>1</v>
      </c>
      <c r="G23" s="4">
        <v>1</v>
      </c>
      <c r="H23" s="5">
        <v>2.02</v>
      </c>
      <c r="I23" s="4">
        <v>0.72</v>
      </c>
      <c r="J23" s="4">
        <v>0.65</v>
      </c>
      <c r="K23" s="4">
        <f t="shared" si="2"/>
        <v>1</v>
      </c>
      <c r="L23" s="4">
        <v>0.65</v>
      </c>
      <c r="M23" s="4">
        <f t="shared" si="0"/>
        <v>1.05</v>
      </c>
      <c r="N23" s="4">
        <f t="shared" si="3"/>
        <v>1.05</v>
      </c>
      <c r="O23" s="6">
        <v>1.59</v>
      </c>
      <c r="P23" s="4">
        <f t="shared" si="4"/>
        <v>0.75</v>
      </c>
    </row>
    <row r="24" spans="1:16" x14ac:dyDescent="0.2">
      <c r="A24" s="2" t="s">
        <v>71</v>
      </c>
      <c r="B24" s="2" t="s">
        <v>72</v>
      </c>
      <c r="C24" s="3" t="s">
        <v>73</v>
      </c>
      <c r="D24" s="4">
        <v>41.53</v>
      </c>
      <c r="E24" s="4">
        <v>42.75</v>
      </c>
      <c r="F24" s="4">
        <v>42.75</v>
      </c>
      <c r="G24" s="4">
        <v>42.75</v>
      </c>
      <c r="H24" s="5">
        <v>40.69</v>
      </c>
      <c r="I24" s="4">
        <v>42.77</v>
      </c>
      <c r="J24" s="4">
        <v>42.77</v>
      </c>
      <c r="K24" s="4">
        <f t="shared" si="2"/>
        <v>42.75</v>
      </c>
      <c r="L24" s="4">
        <v>42.77</v>
      </c>
      <c r="M24" s="4">
        <f t="shared" si="0"/>
        <v>44.887500000000003</v>
      </c>
      <c r="N24" s="4">
        <f t="shared" si="3"/>
        <v>44.887500000000003</v>
      </c>
      <c r="O24" s="6">
        <v>41.96</v>
      </c>
      <c r="P24" s="4">
        <f t="shared" si="4"/>
        <v>32.0625</v>
      </c>
    </row>
    <row r="25" spans="1:16" x14ac:dyDescent="0.2">
      <c r="A25" s="2" t="s">
        <v>74</v>
      </c>
      <c r="B25" s="2" t="s">
        <v>75</v>
      </c>
      <c r="C25" s="3" t="s">
        <v>24</v>
      </c>
      <c r="D25" s="4">
        <v>27.09</v>
      </c>
      <c r="E25" s="4">
        <v>29.51</v>
      </c>
      <c r="F25" s="4">
        <v>29.51</v>
      </c>
      <c r="G25" s="4">
        <v>29.51</v>
      </c>
      <c r="H25" s="5">
        <v>27.95</v>
      </c>
      <c r="I25" s="4">
        <v>32.799999999999997</v>
      </c>
      <c r="J25" s="4">
        <v>29.46</v>
      </c>
      <c r="K25" s="4">
        <f t="shared" si="2"/>
        <v>29.51</v>
      </c>
      <c r="L25" s="4">
        <v>29.46</v>
      </c>
      <c r="M25" s="4">
        <f t="shared" si="0"/>
        <v>30.985500000000002</v>
      </c>
      <c r="N25" s="4">
        <f t="shared" si="3"/>
        <v>30.985500000000002</v>
      </c>
      <c r="O25" s="6">
        <v>29.24</v>
      </c>
      <c r="P25" s="4">
        <f t="shared" si="4"/>
        <v>22.1325</v>
      </c>
    </row>
    <row r="26" spans="1:16" x14ac:dyDescent="0.2">
      <c r="A26" s="2" t="s">
        <v>74</v>
      </c>
      <c r="B26" s="2" t="s">
        <v>76</v>
      </c>
      <c r="C26" s="3" t="s">
        <v>24</v>
      </c>
      <c r="D26" s="4">
        <v>28</v>
      </c>
      <c r="E26" s="4">
        <v>29.51</v>
      </c>
      <c r="F26" s="4">
        <v>29.51</v>
      </c>
      <c r="G26" s="4">
        <v>29.51</v>
      </c>
      <c r="H26" s="5">
        <v>27.95</v>
      </c>
      <c r="I26" s="4">
        <v>32.799999999999997</v>
      </c>
      <c r="J26" s="4">
        <v>29.46</v>
      </c>
      <c r="K26" s="4">
        <f t="shared" si="2"/>
        <v>29.51</v>
      </c>
      <c r="L26" s="4">
        <v>29.46</v>
      </c>
      <c r="M26" s="4">
        <f t="shared" si="0"/>
        <v>30.985500000000002</v>
      </c>
      <c r="N26" s="4">
        <f t="shared" si="3"/>
        <v>30.985500000000002</v>
      </c>
      <c r="O26" s="6">
        <v>29.24</v>
      </c>
      <c r="P26" s="4">
        <f t="shared" si="4"/>
        <v>22.1325</v>
      </c>
    </row>
    <row r="27" spans="1:16" x14ac:dyDescent="0.2">
      <c r="A27" s="2" t="s">
        <v>77</v>
      </c>
      <c r="B27" s="2" t="s">
        <v>78</v>
      </c>
      <c r="C27" s="3" t="s">
        <v>24</v>
      </c>
      <c r="D27" s="4">
        <v>0.04</v>
      </c>
      <c r="E27" s="4">
        <v>0.02</v>
      </c>
      <c r="F27" s="4">
        <v>0.02</v>
      </c>
      <c r="G27" s="4">
        <v>0.02</v>
      </c>
      <c r="H27" s="5">
        <v>0.01</v>
      </c>
      <c r="I27" s="4">
        <v>0.03</v>
      </c>
      <c r="J27" s="4">
        <v>0.03</v>
      </c>
      <c r="K27" s="4">
        <f t="shared" si="2"/>
        <v>0.02</v>
      </c>
      <c r="L27" s="4">
        <v>0.03</v>
      </c>
      <c r="M27" s="4">
        <f t="shared" si="0"/>
        <v>2.1000000000000001E-2</v>
      </c>
      <c r="N27" s="4">
        <f t="shared" si="3"/>
        <v>2.1000000000000001E-2</v>
      </c>
      <c r="O27" s="6">
        <v>0.03</v>
      </c>
      <c r="P27" s="4">
        <f t="shared" si="4"/>
        <v>1.4999999999999999E-2</v>
      </c>
    </row>
    <row r="28" spans="1:16" x14ac:dyDescent="0.2">
      <c r="A28" s="11" t="s">
        <v>79</v>
      </c>
      <c r="B28" s="11" t="s">
        <v>80</v>
      </c>
      <c r="C28" s="3" t="s">
        <v>24</v>
      </c>
      <c r="D28" s="9" t="s">
        <v>35</v>
      </c>
      <c r="E28" s="4">
        <v>0.13500000000000001</v>
      </c>
      <c r="F28" s="4">
        <v>0.13500000000000001</v>
      </c>
      <c r="G28" s="4">
        <v>0.13500000000000001</v>
      </c>
      <c r="H28" s="5">
        <v>1.29</v>
      </c>
      <c r="I28" s="4">
        <v>1.33</v>
      </c>
      <c r="J28" s="4">
        <v>1.33</v>
      </c>
      <c r="K28" s="4">
        <f t="shared" si="2"/>
        <v>0.13500000000000001</v>
      </c>
      <c r="L28" s="4">
        <v>1.33</v>
      </c>
      <c r="M28" s="4">
        <f t="shared" si="0"/>
        <v>0.14175000000000001</v>
      </c>
      <c r="N28" s="4">
        <f t="shared" si="3"/>
        <v>0.14175000000000001</v>
      </c>
      <c r="O28" s="13" t="s">
        <v>32</v>
      </c>
      <c r="P28" s="4">
        <f t="shared" si="4"/>
        <v>0.10125000000000001</v>
      </c>
    </row>
    <row r="29" spans="1:16" x14ac:dyDescent="0.2">
      <c r="A29" s="2" t="s">
        <v>81</v>
      </c>
      <c r="B29" s="2" t="s">
        <v>82</v>
      </c>
      <c r="C29" s="3" t="s">
        <v>24</v>
      </c>
      <c r="D29" s="4">
        <v>0.05</v>
      </c>
      <c r="E29" s="4">
        <v>0.11</v>
      </c>
      <c r="F29" s="4">
        <v>0.11</v>
      </c>
      <c r="G29" s="4">
        <v>0.11</v>
      </c>
      <c r="H29" s="5">
        <v>0.02</v>
      </c>
      <c r="I29" s="4">
        <v>0.11</v>
      </c>
      <c r="J29" s="4">
        <v>0.11</v>
      </c>
      <c r="K29" s="4">
        <f t="shared" si="2"/>
        <v>0.11</v>
      </c>
      <c r="L29" s="4">
        <v>0.11</v>
      </c>
      <c r="M29" s="4">
        <f t="shared" si="0"/>
        <v>0.11550000000000001</v>
      </c>
      <c r="N29" s="4">
        <f t="shared" si="3"/>
        <v>0.11550000000000001</v>
      </c>
      <c r="O29" s="6">
        <v>0.12</v>
      </c>
      <c r="P29" s="4">
        <f t="shared" si="4"/>
        <v>8.2500000000000004E-2</v>
      </c>
    </row>
    <row r="30" spans="1:16" x14ac:dyDescent="0.2">
      <c r="A30" s="2" t="s">
        <v>83</v>
      </c>
      <c r="B30" s="2" t="s">
        <v>84</v>
      </c>
      <c r="C30" s="3" t="s">
        <v>56</v>
      </c>
      <c r="D30" s="4">
        <v>56.98</v>
      </c>
      <c r="E30" s="4">
        <v>49.74</v>
      </c>
      <c r="F30" s="4">
        <v>49.74</v>
      </c>
      <c r="G30" s="4">
        <v>49.74</v>
      </c>
      <c r="H30" s="5">
        <v>174.01</v>
      </c>
      <c r="I30" s="4">
        <v>64.58</v>
      </c>
      <c r="J30" s="4">
        <v>58.01</v>
      </c>
      <c r="K30" s="4">
        <f t="shared" si="2"/>
        <v>49.74</v>
      </c>
      <c r="L30" s="4">
        <v>58.01</v>
      </c>
      <c r="M30" s="4">
        <f t="shared" si="0"/>
        <v>52.227000000000004</v>
      </c>
      <c r="N30" s="4">
        <f t="shared" si="3"/>
        <v>52.227000000000004</v>
      </c>
      <c r="O30" s="6">
        <v>32.090000000000003</v>
      </c>
      <c r="P30" s="4">
        <f t="shared" si="4"/>
        <v>37.305</v>
      </c>
    </row>
    <row r="31" spans="1:16" x14ac:dyDescent="0.2">
      <c r="A31" s="2" t="s">
        <v>85</v>
      </c>
      <c r="B31" s="2" t="s">
        <v>86</v>
      </c>
      <c r="C31" s="3" t="s">
        <v>48</v>
      </c>
      <c r="D31" s="4">
        <v>1.1000000000000001</v>
      </c>
      <c r="E31" s="4">
        <v>0.69</v>
      </c>
      <c r="F31" s="4">
        <v>0.69</v>
      </c>
      <c r="G31" s="4">
        <v>0.69</v>
      </c>
      <c r="H31" s="5">
        <v>0.39</v>
      </c>
      <c r="I31" s="4">
        <v>0.79</v>
      </c>
      <c r="J31" s="4">
        <v>0.71</v>
      </c>
      <c r="K31" s="4">
        <f t="shared" si="2"/>
        <v>0.69</v>
      </c>
      <c r="L31" s="4">
        <v>0.71</v>
      </c>
      <c r="M31" s="4">
        <f t="shared" si="0"/>
        <v>0.72449999999999992</v>
      </c>
      <c r="N31" s="4">
        <f t="shared" si="3"/>
        <v>0.72449999999999992</v>
      </c>
      <c r="O31" s="6">
        <v>0.9</v>
      </c>
      <c r="P31" s="4">
        <f t="shared" si="4"/>
        <v>0.51749999999999996</v>
      </c>
    </row>
    <row r="32" spans="1:16" x14ac:dyDescent="0.2">
      <c r="A32" s="2" t="s">
        <v>87</v>
      </c>
      <c r="B32" s="2" t="s">
        <v>88</v>
      </c>
      <c r="C32" s="3" t="s">
        <v>51</v>
      </c>
      <c r="D32" s="4">
        <v>18.43</v>
      </c>
      <c r="E32" s="4">
        <v>16.920000000000002</v>
      </c>
      <c r="F32" s="4">
        <v>16.920000000000002</v>
      </c>
      <c r="G32" s="4">
        <v>16.920000000000002</v>
      </c>
      <c r="H32" s="5">
        <v>17.809999999999999</v>
      </c>
      <c r="I32" s="4">
        <v>17.09</v>
      </c>
      <c r="J32" s="4">
        <v>17.09</v>
      </c>
      <c r="K32" s="4">
        <f t="shared" si="2"/>
        <v>16.920000000000002</v>
      </c>
      <c r="L32" s="4">
        <v>17.09</v>
      </c>
      <c r="M32" s="4">
        <f t="shared" si="0"/>
        <v>17.766000000000002</v>
      </c>
      <c r="N32" s="4">
        <f t="shared" si="3"/>
        <v>17.766000000000002</v>
      </c>
      <c r="O32" s="6">
        <v>16.399999999999999</v>
      </c>
      <c r="P32" s="4">
        <f t="shared" si="4"/>
        <v>12.690000000000001</v>
      </c>
    </row>
    <row r="33" spans="1:16" x14ac:dyDescent="0.2">
      <c r="A33" s="2" t="s">
        <v>89</v>
      </c>
      <c r="B33" s="2" t="s">
        <v>90</v>
      </c>
      <c r="C33" s="3" t="s">
        <v>91</v>
      </c>
      <c r="D33" s="4">
        <v>43.49</v>
      </c>
      <c r="E33" s="4">
        <v>44.7</v>
      </c>
      <c r="F33" s="4">
        <v>44.7</v>
      </c>
      <c r="G33" s="4">
        <v>44.7</v>
      </c>
      <c r="H33" s="5">
        <v>44.79</v>
      </c>
      <c r="I33" s="4">
        <v>45.03</v>
      </c>
      <c r="J33" s="4">
        <v>45.03</v>
      </c>
      <c r="K33" s="4">
        <f t="shared" si="2"/>
        <v>44.7</v>
      </c>
      <c r="L33" s="4">
        <v>45.03</v>
      </c>
      <c r="M33" s="4">
        <f t="shared" si="0"/>
        <v>46.935000000000002</v>
      </c>
      <c r="N33" s="4">
        <f t="shared" si="3"/>
        <v>46.935000000000002</v>
      </c>
      <c r="O33" s="6">
        <v>44.36</v>
      </c>
      <c r="P33" s="4">
        <f t="shared" si="4"/>
        <v>33.525000000000006</v>
      </c>
    </row>
    <row r="34" spans="1:16" x14ac:dyDescent="0.2">
      <c r="A34" s="2" t="s">
        <v>92</v>
      </c>
      <c r="B34" s="2" t="s">
        <v>93</v>
      </c>
      <c r="C34" s="3" t="s">
        <v>18</v>
      </c>
      <c r="D34" s="4">
        <v>18.989999999999998</v>
      </c>
      <c r="E34" s="4">
        <v>19.64</v>
      </c>
      <c r="F34" s="4">
        <v>19.64</v>
      </c>
      <c r="G34" s="4">
        <v>19.64</v>
      </c>
      <c r="H34" s="5">
        <v>18.14</v>
      </c>
      <c r="I34" s="4">
        <v>19.03</v>
      </c>
      <c r="J34" s="4">
        <v>19.03</v>
      </c>
      <c r="K34" s="4">
        <f t="shared" si="2"/>
        <v>19.64</v>
      </c>
      <c r="L34" s="4">
        <v>19.03</v>
      </c>
      <c r="M34" s="4">
        <f t="shared" si="0"/>
        <v>20.622</v>
      </c>
      <c r="N34" s="4">
        <f t="shared" si="3"/>
        <v>20.622</v>
      </c>
      <c r="O34" s="6">
        <v>18.11</v>
      </c>
      <c r="P34" s="4">
        <f t="shared" si="4"/>
        <v>14.73</v>
      </c>
    </row>
    <row r="35" spans="1:16" x14ac:dyDescent="0.2">
      <c r="A35" s="2" t="s">
        <v>94</v>
      </c>
      <c r="B35" s="2" t="s">
        <v>95</v>
      </c>
      <c r="C35" s="3" t="s">
        <v>18</v>
      </c>
      <c r="D35" s="4">
        <v>223.18</v>
      </c>
      <c r="E35" s="4">
        <v>223.67500000000001</v>
      </c>
      <c r="F35" s="4">
        <v>223.67500000000001</v>
      </c>
      <c r="G35" s="4">
        <v>223.67500000000001</v>
      </c>
      <c r="H35" s="5">
        <v>224.27</v>
      </c>
      <c r="I35" s="4">
        <v>224.8</v>
      </c>
      <c r="J35" s="4">
        <v>224.8</v>
      </c>
      <c r="K35" s="4">
        <f t="shared" si="2"/>
        <v>223.67500000000001</v>
      </c>
      <c r="L35" s="4">
        <v>224.8</v>
      </c>
      <c r="M35" s="4">
        <f t="shared" si="0"/>
        <v>234.85875000000001</v>
      </c>
      <c r="N35" s="4">
        <f t="shared" si="3"/>
        <v>234.85875000000001</v>
      </c>
      <c r="O35" s="6">
        <v>225.19</v>
      </c>
      <c r="P35" s="4">
        <f t="shared" si="4"/>
        <v>167.75625000000002</v>
      </c>
    </row>
    <row r="36" spans="1:16" x14ac:dyDescent="0.2">
      <c r="A36" s="2" t="s">
        <v>96</v>
      </c>
      <c r="B36" s="2" t="s">
        <v>97</v>
      </c>
      <c r="C36" s="3" t="s">
        <v>73</v>
      </c>
      <c r="D36" s="4">
        <v>0.01</v>
      </c>
      <c r="E36" s="4">
        <v>0.01</v>
      </c>
      <c r="F36" s="4">
        <v>0.01</v>
      </c>
      <c r="G36" s="4">
        <v>0.01</v>
      </c>
      <c r="H36" s="5">
        <v>0.01</v>
      </c>
      <c r="I36" s="4">
        <v>0.01</v>
      </c>
      <c r="J36" s="4">
        <v>0.01</v>
      </c>
      <c r="K36" s="4">
        <f t="shared" si="2"/>
        <v>0.01</v>
      </c>
      <c r="L36" s="4">
        <v>0.01</v>
      </c>
      <c r="M36" s="4">
        <f t="shared" si="0"/>
        <v>1.0500000000000001E-2</v>
      </c>
      <c r="N36" s="4">
        <f t="shared" si="3"/>
        <v>1.0500000000000001E-2</v>
      </c>
      <c r="O36" s="6">
        <v>0.01</v>
      </c>
      <c r="P36" s="4">
        <f t="shared" si="4"/>
        <v>7.4999999999999997E-3</v>
      </c>
    </row>
    <row r="37" spans="1:16" x14ac:dyDescent="0.2">
      <c r="A37" s="11" t="s">
        <v>98</v>
      </c>
      <c r="B37" s="11" t="s">
        <v>99</v>
      </c>
      <c r="C37" s="3" t="s">
        <v>24</v>
      </c>
      <c r="D37" s="9" t="s">
        <v>35</v>
      </c>
      <c r="E37" s="4">
        <v>186.79</v>
      </c>
      <c r="F37" s="4">
        <v>186.79</v>
      </c>
      <c r="G37" s="4">
        <v>186.79</v>
      </c>
      <c r="H37" s="5">
        <v>187.48</v>
      </c>
      <c r="I37" s="4">
        <v>209.86</v>
      </c>
      <c r="J37" s="4">
        <v>188.52</v>
      </c>
      <c r="K37" s="4">
        <f t="shared" si="2"/>
        <v>186.79</v>
      </c>
      <c r="L37" s="4">
        <v>188.52</v>
      </c>
      <c r="M37" s="4">
        <f t="shared" si="0"/>
        <v>196.12950000000001</v>
      </c>
      <c r="N37" s="4">
        <f t="shared" si="3"/>
        <v>196.12950000000001</v>
      </c>
      <c r="O37" s="6">
        <v>185.31</v>
      </c>
      <c r="P37" s="4">
        <f t="shared" si="4"/>
        <v>140.0925</v>
      </c>
    </row>
    <row r="38" spans="1:16" x14ac:dyDescent="0.2">
      <c r="A38" s="2" t="s">
        <v>100</v>
      </c>
      <c r="B38" s="2" t="s">
        <v>101</v>
      </c>
      <c r="C38" s="3" t="s">
        <v>91</v>
      </c>
      <c r="D38" s="4">
        <v>31.67</v>
      </c>
      <c r="E38" s="4">
        <v>33.65</v>
      </c>
      <c r="F38" s="4">
        <v>33.65</v>
      </c>
      <c r="G38" s="4">
        <v>33.65</v>
      </c>
      <c r="H38" s="5">
        <v>33.78</v>
      </c>
      <c r="I38" s="4">
        <v>37.479999999999997</v>
      </c>
      <c r="J38" s="4">
        <v>33.67</v>
      </c>
      <c r="K38" s="4">
        <f t="shared" si="2"/>
        <v>33.65</v>
      </c>
      <c r="L38" s="4">
        <v>33.67</v>
      </c>
      <c r="M38" s="4">
        <f t="shared" si="0"/>
        <v>35.332500000000003</v>
      </c>
      <c r="N38" s="4">
        <f t="shared" si="3"/>
        <v>35.332500000000003</v>
      </c>
      <c r="O38" s="6">
        <v>33.56</v>
      </c>
      <c r="P38" s="4">
        <f t="shared" si="4"/>
        <v>25.237499999999997</v>
      </c>
    </row>
    <row r="39" spans="1:16" x14ac:dyDescent="0.2">
      <c r="A39" s="2" t="s">
        <v>102</v>
      </c>
      <c r="B39" s="2" t="s">
        <v>103</v>
      </c>
      <c r="C39" s="3" t="s">
        <v>24</v>
      </c>
      <c r="D39" s="4">
        <v>2.4500000000000002</v>
      </c>
      <c r="E39" s="4">
        <v>2.5499999999999998</v>
      </c>
      <c r="F39" s="4">
        <v>2.5499999999999998</v>
      </c>
      <c r="G39" s="4">
        <v>2.5499999999999998</v>
      </c>
      <c r="H39" s="5">
        <v>3.14</v>
      </c>
      <c r="I39" s="4">
        <v>2.93</v>
      </c>
      <c r="J39" s="4">
        <v>2.63</v>
      </c>
      <c r="K39" s="4">
        <f t="shared" si="2"/>
        <v>2.5499999999999998</v>
      </c>
      <c r="L39" s="4">
        <v>2.63</v>
      </c>
      <c r="M39" s="4">
        <f t="shared" si="0"/>
        <v>2.6774999999999998</v>
      </c>
      <c r="N39" s="4">
        <f t="shared" si="3"/>
        <v>2.6774999999999998</v>
      </c>
      <c r="O39" s="6">
        <v>2.87</v>
      </c>
      <c r="P39" s="4">
        <f t="shared" si="4"/>
        <v>1.9124999999999999</v>
      </c>
    </row>
    <row r="40" spans="1:16" x14ac:dyDescent="0.2">
      <c r="A40" s="2" t="s">
        <v>104</v>
      </c>
      <c r="B40" s="2" t="s">
        <v>105</v>
      </c>
      <c r="C40" s="3" t="s">
        <v>18</v>
      </c>
      <c r="D40" s="4">
        <v>37.979999999999997</v>
      </c>
      <c r="E40" s="4">
        <v>21.93</v>
      </c>
      <c r="F40" s="4">
        <v>21.93</v>
      </c>
      <c r="G40" s="4">
        <v>21.93</v>
      </c>
      <c r="H40" s="5">
        <v>23.58</v>
      </c>
      <c r="I40" s="4">
        <v>22.83</v>
      </c>
      <c r="J40" s="4">
        <v>22.83</v>
      </c>
      <c r="K40" s="4">
        <f t="shared" si="2"/>
        <v>21.93</v>
      </c>
      <c r="L40" s="4">
        <v>22.83</v>
      </c>
      <c r="M40" s="4">
        <f t="shared" si="0"/>
        <v>23.026500000000002</v>
      </c>
      <c r="N40" s="4">
        <f t="shared" si="3"/>
        <v>23.026500000000002</v>
      </c>
      <c r="O40" s="6">
        <v>18.95</v>
      </c>
      <c r="P40" s="4">
        <f t="shared" si="4"/>
        <v>16.447499999999998</v>
      </c>
    </row>
    <row r="41" spans="1:16" x14ac:dyDescent="0.2">
      <c r="A41" s="2" t="s">
        <v>106</v>
      </c>
      <c r="B41" s="2" t="s">
        <v>107</v>
      </c>
      <c r="C41" s="3" t="s">
        <v>24</v>
      </c>
      <c r="D41" s="4">
        <v>1.06</v>
      </c>
      <c r="E41" s="4">
        <v>1.1000000000000001</v>
      </c>
      <c r="F41" s="4">
        <v>1.1000000000000001</v>
      </c>
      <c r="G41" s="4">
        <v>1.1000000000000001</v>
      </c>
      <c r="H41" s="5">
        <v>1.28</v>
      </c>
      <c r="I41" s="4">
        <v>1.1200000000000001</v>
      </c>
      <c r="J41" s="4">
        <v>1.1200000000000001</v>
      </c>
      <c r="K41" s="4">
        <f t="shared" si="2"/>
        <v>1.1000000000000001</v>
      </c>
      <c r="L41" s="4">
        <v>1.1200000000000001</v>
      </c>
      <c r="M41" s="4">
        <f t="shared" si="0"/>
        <v>1.1550000000000002</v>
      </c>
      <c r="N41" s="4">
        <f t="shared" si="3"/>
        <v>1.1550000000000002</v>
      </c>
      <c r="O41" s="6">
        <v>1.1399999999999999</v>
      </c>
      <c r="P41" s="4">
        <f t="shared" si="4"/>
        <v>0.82500000000000007</v>
      </c>
    </row>
    <row r="42" spans="1:16" x14ac:dyDescent="0.2">
      <c r="A42" s="2" t="s">
        <v>108</v>
      </c>
      <c r="B42" s="2" t="s">
        <v>109</v>
      </c>
      <c r="C42" s="3" t="s">
        <v>63</v>
      </c>
      <c r="D42" s="4">
        <v>1.0900000000000001</v>
      </c>
      <c r="E42" s="4">
        <v>1.02</v>
      </c>
      <c r="F42" s="4">
        <v>1.02</v>
      </c>
      <c r="G42" s="4">
        <v>1.02</v>
      </c>
      <c r="H42" s="5">
        <v>1.1100000000000001</v>
      </c>
      <c r="I42" s="4">
        <v>1.1100000000000001</v>
      </c>
      <c r="J42" s="4">
        <v>1</v>
      </c>
      <c r="K42" s="4">
        <f t="shared" si="2"/>
        <v>1.02</v>
      </c>
      <c r="L42" s="4">
        <v>1</v>
      </c>
      <c r="M42" s="4">
        <f t="shared" si="0"/>
        <v>1.0710000000000002</v>
      </c>
      <c r="N42" s="4">
        <f t="shared" si="3"/>
        <v>1.0710000000000002</v>
      </c>
      <c r="O42" s="6">
        <v>0.99</v>
      </c>
      <c r="P42" s="4">
        <f t="shared" si="4"/>
        <v>0.76500000000000001</v>
      </c>
    </row>
    <row r="43" spans="1:16" x14ac:dyDescent="0.2">
      <c r="A43" s="2" t="s">
        <v>110</v>
      </c>
      <c r="B43" s="2" t="s">
        <v>111</v>
      </c>
      <c r="C43" s="3" t="s">
        <v>63</v>
      </c>
      <c r="D43" s="4">
        <v>0.23</v>
      </c>
      <c r="E43" s="4">
        <v>0.25</v>
      </c>
      <c r="F43" s="4">
        <v>0.25</v>
      </c>
      <c r="G43" s="4">
        <v>0.25</v>
      </c>
      <c r="H43" s="5">
        <v>0.41</v>
      </c>
      <c r="I43" s="4">
        <v>0.28000000000000003</v>
      </c>
      <c r="J43" s="4">
        <v>0.25</v>
      </c>
      <c r="K43" s="4">
        <f t="shared" si="2"/>
        <v>0.25</v>
      </c>
      <c r="L43" s="4">
        <v>0.25</v>
      </c>
      <c r="M43" s="4">
        <f t="shared" si="0"/>
        <v>0.26250000000000001</v>
      </c>
      <c r="N43" s="4">
        <f t="shared" si="3"/>
        <v>0.26250000000000001</v>
      </c>
      <c r="O43" s="6">
        <v>0.3</v>
      </c>
      <c r="P43" s="4">
        <f t="shared" si="4"/>
        <v>0.1875</v>
      </c>
    </row>
    <row r="44" spans="1:16" x14ac:dyDescent="0.2">
      <c r="A44" s="2" t="s">
        <v>112</v>
      </c>
      <c r="B44" s="2" t="s">
        <v>113</v>
      </c>
      <c r="C44" s="3" t="s">
        <v>24</v>
      </c>
      <c r="D44" s="4">
        <v>5.8</v>
      </c>
      <c r="E44" s="4">
        <v>5.49</v>
      </c>
      <c r="F44" s="4">
        <v>5.49</v>
      </c>
      <c r="G44" s="4">
        <v>5.49</v>
      </c>
      <c r="H44" s="5">
        <v>5.35</v>
      </c>
      <c r="I44" s="4">
        <v>6.03</v>
      </c>
      <c r="J44" s="4">
        <v>5.42</v>
      </c>
      <c r="K44" s="4">
        <f t="shared" si="2"/>
        <v>5.49</v>
      </c>
      <c r="L44" s="4">
        <v>5.42</v>
      </c>
      <c r="M44" s="4">
        <f t="shared" si="0"/>
        <v>5.7645000000000008</v>
      </c>
      <c r="N44" s="4">
        <f t="shared" si="3"/>
        <v>5.7645000000000008</v>
      </c>
      <c r="O44" s="6">
        <v>5.39</v>
      </c>
      <c r="P44" s="4">
        <f t="shared" si="4"/>
        <v>4.1174999999999997</v>
      </c>
    </row>
    <row r="45" spans="1:16" ht="43" x14ac:dyDescent="0.2">
      <c r="A45" s="2" t="s">
        <v>114</v>
      </c>
      <c r="B45" s="14" t="s">
        <v>115</v>
      </c>
      <c r="C45" s="3" t="s">
        <v>116</v>
      </c>
      <c r="D45" s="4">
        <v>32.299999999999997</v>
      </c>
      <c r="E45" s="4">
        <v>38.954999999999998</v>
      </c>
      <c r="F45" s="4">
        <v>38.954999999999998</v>
      </c>
      <c r="G45" s="4">
        <v>38.954999999999998</v>
      </c>
      <c r="H45" s="5">
        <v>34.47</v>
      </c>
      <c r="I45" s="4">
        <v>26.22</v>
      </c>
      <c r="J45" s="4">
        <v>23.55</v>
      </c>
      <c r="K45" s="4">
        <f t="shared" si="2"/>
        <v>38.954999999999998</v>
      </c>
      <c r="L45" s="4">
        <v>23.55</v>
      </c>
      <c r="M45" s="4">
        <f t="shared" si="0"/>
        <v>40.902749999999997</v>
      </c>
      <c r="N45" s="4">
        <f t="shared" si="3"/>
        <v>40.902749999999997</v>
      </c>
      <c r="O45" s="6">
        <v>21.12</v>
      </c>
      <c r="P45" s="4">
        <f t="shared" si="4"/>
        <v>29.216249999999999</v>
      </c>
    </row>
    <row r="46" spans="1:16" x14ac:dyDescent="0.2">
      <c r="A46" s="2" t="s">
        <v>117</v>
      </c>
      <c r="B46" s="2" t="s">
        <v>118</v>
      </c>
      <c r="C46" s="3" t="s">
        <v>24</v>
      </c>
      <c r="D46" s="4">
        <v>0.1</v>
      </c>
      <c r="E46" s="4">
        <v>0.11</v>
      </c>
      <c r="F46" s="4">
        <v>0.11</v>
      </c>
      <c r="G46" s="4">
        <v>0.11</v>
      </c>
      <c r="H46" s="5">
        <v>0.5</v>
      </c>
      <c r="I46" s="4">
        <v>0.12</v>
      </c>
      <c r="J46" s="4">
        <v>0.11</v>
      </c>
      <c r="K46" s="4">
        <f t="shared" si="2"/>
        <v>0.11</v>
      </c>
      <c r="L46" s="4">
        <v>0.11</v>
      </c>
      <c r="M46" s="4">
        <f t="shared" si="0"/>
        <v>0.11550000000000001</v>
      </c>
      <c r="N46" s="4">
        <f t="shared" si="3"/>
        <v>0.11550000000000001</v>
      </c>
      <c r="O46" s="6">
        <v>0.11</v>
      </c>
      <c r="P46" s="4">
        <f t="shared" si="4"/>
        <v>8.2500000000000004E-2</v>
      </c>
    </row>
    <row r="47" spans="1:16" x14ac:dyDescent="0.2">
      <c r="A47" s="2" t="s">
        <v>119</v>
      </c>
      <c r="B47" s="2" t="s">
        <v>120</v>
      </c>
      <c r="C47" s="3" t="s">
        <v>73</v>
      </c>
      <c r="D47" s="4">
        <v>484.65</v>
      </c>
      <c r="E47" s="4">
        <v>524.17999999999995</v>
      </c>
      <c r="F47" s="4">
        <v>524.17999999999995</v>
      </c>
      <c r="G47" s="4">
        <v>524.17999999999995</v>
      </c>
      <c r="H47" s="5">
        <v>688.3</v>
      </c>
      <c r="I47" s="4">
        <v>608.85</v>
      </c>
      <c r="J47" s="4">
        <v>546.92999999999995</v>
      </c>
      <c r="K47" s="4">
        <f t="shared" si="2"/>
        <v>524.17999999999995</v>
      </c>
      <c r="L47" s="4">
        <v>546.92999999999995</v>
      </c>
      <c r="M47" s="4">
        <f t="shared" si="0"/>
        <v>550.38900000000001</v>
      </c>
      <c r="N47" s="4">
        <f t="shared" si="3"/>
        <v>550.38900000000001</v>
      </c>
      <c r="O47" s="6">
        <v>606.35</v>
      </c>
      <c r="P47" s="4">
        <f t="shared" si="4"/>
        <v>393.13499999999999</v>
      </c>
    </row>
    <row r="48" spans="1:16" x14ac:dyDescent="0.2">
      <c r="A48" s="11" t="s">
        <v>121</v>
      </c>
      <c r="B48" s="11" t="s">
        <v>122</v>
      </c>
      <c r="C48" s="3" t="s">
        <v>24</v>
      </c>
      <c r="D48" s="9" t="s">
        <v>35</v>
      </c>
      <c r="E48" s="4">
        <v>0.04</v>
      </c>
      <c r="F48" s="4">
        <v>0.04</v>
      </c>
      <c r="G48" s="4">
        <v>0.04</v>
      </c>
      <c r="H48" s="5">
        <v>1.99</v>
      </c>
      <c r="I48" s="4">
        <v>0.71</v>
      </c>
      <c r="J48" s="4">
        <v>0.64</v>
      </c>
      <c r="K48" s="4">
        <f t="shared" si="2"/>
        <v>0.04</v>
      </c>
      <c r="L48" s="4">
        <v>0.64</v>
      </c>
      <c r="M48" s="4">
        <f t="shared" si="0"/>
        <v>4.2000000000000003E-2</v>
      </c>
      <c r="N48" s="4">
        <f t="shared" si="3"/>
        <v>4.2000000000000003E-2</v>
      </c>
      <c r="O48" s="6">
        <v>2.0499999999999998</v>
      </c>
      <c r="P48" s="4">
        <f t="shared" si="4"/>
        <v>0.03</v>
      </c>
    </row>
    <row r="49" spans="1:16" x14ac:dyDescent="0.2">
      <c r="A49" s="2" t="s">
        <v>123</v>
      </c>
      <c r="B49" s="2" t="s">
        <v>124</v>
      </c>
      <c r="C49" s="3" t="s">
        <v>125</v>
      </c>
      <c r="D49" s="4">
        <v>59.92</v>
      </c>
      <c r="E49" s="4">
        <v>49.53</v>
      </c>
      <c r="F49" s="4">
        <v>49.53</v>
      </c>
      <c r="G49" s="4">
        <v>49.53</v>
      </c>
      <c r="H49" s="5">
        <v>55.67</v>
      </c>
      <c r="I49" s="4">
        <v>56.31</v>
      </c>
      <c r="J49" s="4">
        <v>50.28</v>
      </c>
      <c r="K49" s="4">
        <f t="shared" si="2"/>
        <v>49.53</v>
      </c>
      <c r="L49" s="4">
        <v>50.28</v>
      </c>
      <c r="M49" s="4">
        <f t="shared" si="0"/>
        <v>52.006500000000003</v>
      </c>
      <c r="N49" s="4">
        <f t="shared" si="3"/>
        <v>52.006500000000003</v>
      </c>
      <c r="O49" s="6">
        <v>50.43</v>
      </c>
      <c r="P49" s="4">
        <f t="shared" si="4"/>
        <v>37.147500000000001</v>
      </c>
    </row>
    <row r="50" spans="1:16" x14ac:dyDescent="0.2">
      <c r="A50" s="11" t="s">
        <v>126</v>
      </c>
      <c r="B50" s="11" t="s">
        <v>127</v>
      </c>
      <c r="C50" s="3" t="s">
        <v>128</v>
      </c>
      <c r="D50" s="9" t="s">
        <v>35</v>
      </c>
      <c r="E50" s="4">
        <v>24.32</v>
      </c>
      <c r="F50" s="4">
        <v>24.32</v>
      </c>
      <c r="G50" s="4">
        <v>24.32</v>
      </c>
      <c r="H50" s="5" t="s">
        <v>35</v>
      </c>
      <c r="I50" s="4" t="e">
        <f>#REF!*0.4</f>
        <v>#REF!</v>
      </c>
      <c r="J50" s="4" t="s">
        <v>35</v>
      </c>
      <c r="K50" s="4">
        <f t="shared" si="2"/>
        <v>24.32</v>
      </c>
      <c r="L50" s="4" t="s">
        <v>36</v>
      </c>
      <c r="M50" s="4">
        <f t="shared" si="0"/>
        <v>25.536000000000001</v>
      </c>
      <c r="N50" s="4">
        <f t="shared" si="3"/>
        <v>25.536000000000001</v>
      </c>
      <c r="O50" s="7" t="s">
        <v>32</v>
      </c>
      <c r="P50" s="4">
        <f t="shared" si="4"/>
        <v>18.240000000000002</v>
      </c>
    </row>
    <row r="51" spans="1:16" x14ac:dyDescent="0.2">
      <c r="A51" s="2" t="s">
        <v>129</v>
      </c>
      <c r="B51" s="2" t="s">
        <v>130</v>
      </c>
      <c r="C51" s="3" t="s">
        <v>128</v>
      </c>
      <c r="D51" s="4">
        <v>14.73</v>
      </c>
      <c r="E51" s="4">
        <v>14.515000000000001</v>
      </c>
      <c r="F51" s="4">
        <v>14.515000000000001</v>
      </c>
      <c r="G51" s="4">
        <v>14.515000000000001</v>
      </c>
      <c r="H51" s="5">
        <v>15.45</v>
      </c>
      <c r="I51" s="4">
        <v>16.28</v>
      </c>
      <c r="J51" s="4">
        <v>14.54</v>
      </c>
      <c r="K51" s="4">
        <f t="shared" si="2"/>
        <v>14.515000000000001</v>
      </c>
      <c r="L51" s="4">
        <v>14.54</v>
      </c>
      <c r="M51" s="4">
        <f t="shared" si="0"/>
        <v>15.240750000000002</v>
      </c>
      <c r="N51" s="4">
        <f t="shared" si="3"/>
        <v>15.240750000000002</v>
      </c>
      <c r="O51" s="6">
        <v>14.12</v>
      </c>
      <c r="P51" s="4">
        <f t="shared" si="4"/>
        <v>10.88625</v>
      </c>
    </row>
    <row r="52" spans="1:16" x14ac:dyDescent="0.2">
      <c r="A52" s="2" t="s">
        <v>131</v>
      </c>
      <c r="B52" s="2" t="s">
        <v>132</v>
      </c>
      <c r="C52" s="3" t="s">
        <v>125</v>
      </c>
      <c r="D52" s="4">
        <v>60.85</v>
      </c>
      <c r="E52" s="4">
        <v>49.73</v>
      </c>
      <c r="F52" s="4">
        <v>49.73</v>
      </c>
      <c r="G52" s="4">
        <v>49.73</v>
      </c>
      <c r="H52" s="5">
        <v>54.73</v>
      </c>
      <c r="I52" s="4">
        <v>54.97</v>
      </c>
      <c r="J52" s="4">
        <v>49.08</v>
      </c>
      <c r="K52" s="4">
        <f t="shared" si="2"/>
        <v>49.73</v>
      </c>
      <c r="L52" s="4">
        <v>49.08</v>
      </c>
      <c r="M52" s="4">
        <f t="shared" si="0"/>
        <v>52.216499999999996</v>
      </c>
      <c r="N52" s="4">
        <f t="shared" si="3"/>
        <v>52.216499999999996</v>
      </c>
      <c r="O52" s="6">
        <v>48.03</v>
      </c>
      <c r="P52" s="4">
        <f t="shared" si="4"/>
        <v>37.297499999999999</v>
      </c>
    </row>
    <row r="53" spans="1:16" x14ac:dyDescent="0.2">
      <c r="A53" s="11" t="s">
        <v>131</v>
      </c>
      <c r="B53" s="11" t="s">
        <v>133</v>
      </c>
      <c r="C53" s="3" t="s">
        <v>125</v>
      </c>
      <c r="D53" s="9" t="s">
        <v>35</v>
      </c>
      <c r="E53" s="4">
        <v>49.73</v>
      </c>
      <c r="F53" s="4">
        <v>49.73</v>
      </c>
      <c r="G53" s="4">
        <v>49.73</v>
      </c>
      <c r="H53" s="5">
        <v>54.73</v>
      </c>
      <c r="I53" s="4">
        <v>54.97</v>
      </c>
      <c r="J53" s="4">
        <v>49.08</v>
      </c>
      <c r="K53" s="4">
        <f t="shared" si="2"/>
        <v>49.73</v>
      </c>
      <c r="L53" s="4">
        <v>49.08</v>
      </c>
      <c r="M53" s="4">
        <f t="shared" si="0"/>
        <v>52.216499999999996</v>
      </c>
      <c r="N53" s="4">
        <f t="shared" si="3"/>
        <v>52.216499999999996</v>
      </c>
      <c r="O53" s="6">
        <v>48.03</v>
      </c>
      <c r="P53" s="4">
        <f t="shared" si="4"/>
        <v>37.297499999999999</v>
      </c>
    </row>
    <row r="54" spans="1:16" x14ac:dyDescent="0.2">
      <c r="A54" s="2" t="s">
        <v>134</v>
      </c>
      <c r="B54" s="2" t="s">
        <v>135</v>
      </c>
      <c r="C54" s="3" t="s">
        <v>125</v>
      </c>
      <c r="D54" s="4">
        <v>78.22</v>
      </c>
      <c r="E54" s="4">
        <v>80.394999999999996</v>
      </c>
      <c r="F54" s="4">
        <v>80.394999999999996</v>
      </c>
      <c r="G54" s="4">
        <v>80.394999999999996</v>
      </c>
      <c r="H54" s="5">
        <v>91.71</v>
      </c>
      <c r="I54" s="4">
        <v>88.36</v>
      </c>
      <c r="J54" s="4">
        <v>78.89</v>
      </c>
      <c r="K54" s="4">
        <f t="shared" si="2"/>
        <v>80.394999999999996</v>
      </c>
      <c r="L54" s="4">
        <v>78.89</v>
      </c>
      <c r="M54" s="4">
        <f t="shared" si="0"/>
        <v>84.414749999999998</v>
      </c>
      <c r="N54" s="4">
        <f t="shared" si="3"/>
        <v>84.414749999999998</v>
      </c>
      <c r="O54" s="6">
        <v>81.7</v>
      </c>
      <c r="P54" s="4">
        <f t="shared" si="4"/>
        <v>60.296250000000001</v>
      </c>
    </row>
    <row r="55" spans="1:16" x14ac:dyDescent="0.2">
      <c r="A55" s="2" t="s">
        <v>136</v>
      </c>
      <c r="B55" s="2" t="s">
        <v>137</v>
      </c>
      <c r="C55" s="3" t="s">
        <v>125</v>
      </c>
      <c r="D55" s="4">
        <v>43.49</v>
      </c>
      <c r="E55" s="4">
        <v>47.034999999999997</v>
      </c>
      <c r="F55" s="4">
        <v>47.034999999999997</v>
      </c>
      <c r="G55" s="4">
        <v>47.034999999999997</v>
      </c>
      <c r="H55" s="5">
        <v>54.4</v>
      </c>
      <c r="I55" s="4">
        <v>53.08</v>
      </c>
      <c r="J55" s="4">
        <v>47.39</v>
      </c>
      <c r="K55" s="4">
        <f t="shared" si="2"/>
        <v>47.034999999999997</v>
      </c>
      <c r="L55" s="4">
        <v>47.38</v>
      </c>
      <c r="M55" s="4">
        <f t="shared" si="0"/>
        <v>49.386749999999999</v>
      </c>
      <c r="N55" s="4">
        <f t="shared" si="3"/>
        <v>49.386749999999999</v>
      </c>
      <c r="O55" s="6">
        <v>48.38</v>
      </c>
      <c r="P55" s="4">
        <f t="shared" si="4"/>
        <v>35.276249999999997</v>
      </c>
    </row>
    <row r="56" spans="1:16" x14ac:dyDescent="0.2">
      <c r="A56" s="2" t="s">
        <v>138</v>
      </c>
      <c r="B56" s="2" t="s">
        <v>139</v>
      </c>
      <c r="C56" s="3" t="s">
        <v>125</v>
      </c>
      <c r="D56" s="4">
        <v>47.69</v>
      </c>
      <c r="E56" s="4">
        <v>49.08</v>
      </c>
      <c r="F56" s="4">
        <v>49.08</v>
      </c>
      <c r="G56" s="4">
        <v>49.08</v>
      </c>
      <c r="H56" s="5">
        <v>51.09</v>
      </c>
      <c r="I56" s="4">
        <v>52.96</v>
      </c>
      <c r="J56" s="4">
        <v>47.29</v>
      </c>
      <c r="K56" s="4">
        <f t="shared" si="2"/>
        <v>49.08</v>
      </c>
      <c r="L56" s="4">
        <v>47.29</v>
      </c>
      <c r="M56" s="4">
        <f t="shared" si="0"/>
        <v>51.533999999999999</v>
      </c>
      <c r="N56" s="4">
        <f t="shared" si="3"/>
        <v>51.533999999999999</v>
      </c>
      <c r="O56" s="6">
        <v>47.8</v>
      </c>
      <c r="P56" s="4">
        <f t="shared" si="4"/>
        <v>36.81</v>
      </c>
    </row>
    <row r="57" spans="1:16" x14ac:dyDescent="0.2">
      <c r="A57" s="2" t="s">
        <v>140</v>
      </c>
      <c r="B57" s="2" t="s">
        <v>141</v>
      </c>
      <c r="C57" s="3" t="s">
        <v>128</v>
      </c>
      <c r="D57" s="4">
        <v>17.559999999999999</v>
      </c>
      <c r="E57" s="4">
        <v>18.8</v>
      </c>
      <c r="F57" s="4">
        <v>18.8</v>
      </c>
      <c r="G57" s="4">
        <v>18.8</v>
      </c>
      <c r="H57" s="5">
        <v>19.88</v>
      </c>
      <c r="I57" s="4">
        <v>20.53</v>
      </c>
      <c r="J57" s="4">
        <v>18.329999999999998</v>
      </c>
      <c r="K57" s="4">
        <f t="shared" si="2"/>
        <v>18.8</v>
      </c>
      <c r="L57" s="4">
        <v>18.32</v>
      </c>
      <c r="M57" s="4">
        <f t="shared" si="0"/>
        <v>19.740000000000002</v>
      </c>
      <c r="N57" s="4">
        <f t="shared" si="3"/>
        <v>19.740000000000002</v>
      </c>
      <c r="O57" s="6">
        <v>18.39</v>
      </c>
      <c r="P57" s="4">
        <f t="shared" si="4"/>
        <v>14.100000000000001</v>
      </c>
    </row>
    <row r="58" spans="1:16" x14ac:dyDescent="0.2">
      <c r="A58" s="2" t="s">
        <v>142</v>
      </c>
      <c r="B58" s="2" t="s">
        <v>143</v>
      </c>
      <c r="C58" s="3" t="s">
        <v>125</v>
      </c>
      <c r="D58" s="4">
        <v>66.5</v>
      </c>
      <c r="E58" s="4">
        <v>73.83</v>
      </c>
      <c r="F58" s="4">
        <v>73.83</v>
      </c>
      <c r="G58" s="4">
        <v>73.83</v>
      </c>
      <c r="H58" s="5">
        <v>73.09</v>
      </c>
      <c r="I58" s="4">
        <v>79.77</v>
      </c>
      <c r="J58" s="4">
        <v>71.22</v>
      </c>
      <c r="K58" s="4">
        <f t="shared" si="2"/>
        <v>73.83</v>
      </c>
      <c r="L58" s="4">
        <v>71.22</v>
      </c>
      <c r="M58" s="4">
        <f t="shared" si="0"/>
        <v>77.521500000000003</v>
      </c>
      <c r="N58" s="4">
        <f t="shared" si="3"/>
        <v>77.521500000000003</v>
      </c>
      <c r="O58" s="6">
        <v>74.459999999999994</v>
      </c>
      <c r="P58" s="4">
        <f t="shared" si="4"/>
        <v>55.372500000000002</v>
      </c>
    </row>
    <row r="59" spans="1:16" x14ac:dyDescent="0.2">
      <c r="A59" s="2" t="s">
        <v>144</v>
      </c>
      <c r="B59" s="2" t="s">
        <v>145</v>
      </c>
      <c r="C59" s="3" t="s">
        <v>146</v>
      </c>
      <c r="D59" s="4">
        <v>5.49</v>
      </c>
      <c r="E59" s="4">
        <v>1.93</v>
      </c>
      <c r="F59" s="4">
        <v>1.93</v>
      </c>
      <c r="G59" s="4">
        <v>1.93</v>
      </c>
      <c r="H59" s="5">
        <v>1.92</v>
      </c>
      <c r="I59" s="4">
        <v>2.17</v>
      </c>
      <c r="J59" s="4">
        <v>2.17</v>
      </c>
      <c r="K59" s="4">
        <f t="shared" si="2"/>
        <v>1.93</v>
      </c>
      <c r="L59" s="4">
        <v>2.17</v>
      </c>
      <c r="M59" s="4">
        <f t="shared" si="0"/>
        <v>2.0265</v>
      </c>
      <c r="N59" s="4">
        <f t="shared" si="3"/>
        <v>2.0265</v>
      </c>
      <c r="O59" s="6">
        <v>2.62</v>
      </c>
      <c r="P59" s="4">
        <f t="shared" si="4"/>
        <v>1.4475</v>
      </c>
    </row>
    <row r="60" spans="1:16" x14ac:dyDescent="0.2">
      <c r="A60" s="2" t="s">
        <v>147</v>
      </c>
      <c r="B60" s="2" t="s">
        <v>148</v>
      </c>
      <c r="C60" s="3" t="s">
        <v>24</v>
      </c>
      <c r="D60" s="4">
        <v>10.86</v>
      </c>
      <c r="E60" s="4">
        <v>11.29</v>
      </c>
      <c r="F60" s="4">
        <v>11.29</v>
      </c>
      <c r="G60" s="4">
        <v>11.29</v>
      </c>
      <c r="H60" s="5">
        <v>11.94</v>
      </c>
      <c r="I60" s="4">
        <v>11.63</v>
      </c>
      <c r="J60" s="4">
        <v>11.63</v>
      </c>
      <c r="K60" s="4">
        <f t="shared" si="2"/>
        <v>11.29</v>
      </c>
      <c r="L60" s="4">
        <v>11.63</v>
      </c>
      <c r="M60" s="4">
        <f t="shared" si="0"/>
        <v>11.8545</v>
      </c>
      <c r="N60" s="4">
        <f t="shared" si="3"/>
        <v>11.8545</v>
      </c>
      <c r="O60" s="6">
        <v>11.03</v>
      </c>
      <c r="P60" s="4">
        <f t="shared" si="4"/>
        <v>8.4674999999999994</v>
      </c>
    </row>
    <row r="61" spans="1:16" x14ac:dyDescent="0.2">
      <c r="A61" s="2" t="s">
        <v>149</v>
      </c>
      <c r="B61" s="2" t="s">
        <v>150</v>
      </c>
      <c r="C61" s="3" t="s">
        <v>151</v>
      </c>
      <c r="D61" s="4">
        <v>0.24</v>
      </c>
      <c r="E61" s="4">
        <v>0.16</v>
      </c>
      <c r="F61" s="4">
        <v>0.16</v>
      </c>
      <c r="G61" s="4">
        <v>0.16</v>
      </c>
      <c r="H61" s="5">
        <v>0.35</v>
      </c>
      <c r="I61" s="4">
        <v>4.04</v>
      </c>
      <c r="J61" s="4">
        <v>0.15</v>
      </c>
      <c r="K61" s="4">
        <f t="shared" si="2"/>
        <v>0.16</v>
      </c>
      <c r="L61" s="4">
        <v>0.15</v>
      </c>
      <c r="M61" s="4">
        <f t="shared" si="0"/>
        <v>0.16800000000000001</v>
      </c>
      <c r="N61" s="4">
        <f t="shared" si="3"/>
        <v>0.16800000000000001</v>
      </c>
      <c r="O61" s="6">
        <v>0.23</v>
      </c>
      <c r="P61" s="4">
        <f t="shared" si="4"/>
        <v>0.12</v>
      </c>
    </row>
    <row r="62" spans="1:16" x14ac:dyDescent="0.2">
      <c r="A62" s="2" t="s">
        <v>152</v>
      </c>
      <c r="B62" s="2" t="s">
        <v>153</v>
      </c>
      <c r="C62" s="3" t="s">
        <v>116</v>
      </c>
      <c r="D62" s="4">
        <v>3.66</v>
      </c>
      <c r="E62" s="4">
        <v>3.88</v>
      </c>
      <c r="F62" s="4">
        <v>3.88</v>
      </c>
      <c r="G62" s="4">
        <v>3.88</v>
      </c>
      <c r="H62" s="5">
        <v>8.15</v>
      </c>
      <c r="I62" s="4">
        <v>4.3</v>
      </c>
      <c r="J62" s="4">
        <v>4.3</v>
      </c>
      <c r="K62" s="4">
        <f t="shared" si="2"/>
        <v>3.88</v>
      </c>
      <c r="L62" s="4">
        <v>4.3</v>
      </c>
      <c r="M62" s="4">
        <f t="shared" si="0"/>
        <v>4.0739999999999998</v>
      </c>
      <c r="N62" s="4">
        <f t="shared" si="3"/>
        <v>4.0739999999999998</v>
      </c>
      <c r="O62" s="6">
        <v>4.96</v>
      </c>
      <c r="P62" s="4">
        <f t="shared" si="4"/>
        <v>2.91</v>
      </c>
    </row>
    <row r="63" spans="1:16" x14ac:dyDescent="0.2">
      <c r="A63" s="2" t="s">
        <v>154</v>
      </c>
      <c r="B63" s="2" t="s">
        <v>155</v>
      </c>
      <c r="C63" s="3" t="s">
        <v>51</v>
      </c>
      <c r="D63" s="4">
        <v>2.39</v>
      </c>
      <c r="E63" s="4">
        <v>0.8</v>
      </c>
      <c r="F63" s="4">
        <v>0.8</v>
      </c>
      <c r="G63" s="4">
        <v>0.8</v>
      </c>
      <c r="H63" s="5">
        <v>2.67</v>
      </c>
      <c r="I63" s="4">
        <v>0.88</v>
      </c>
      <c r="J63" s="4">
        <v>0.88</v>
      </c>
      <c r="K63" s="4">
        <f t="shared" si="2"/>
        <v>0.8</v>
      </c>
      <c r="L63" s="4">
        <v>0.88</v>
      </c>
      <c r="M63" s="4">
        <f t="shared" si="0"/>
        <v>0.84000000000000008</v>
      </c>
      <c r="N63" s="4">
        <f t="shared" si="3"/>
        <v>0.84000000000000008</v>
      </c>
      <c r="O63" s="6">
        <v>0.72</v>
      </c>
      <c r="P63" s="4">
        <f t="shared" si="4"/>
        <v>0.60000000000000009</v>
      </c>
    </row>
    <row r="64" spans="1:16" x14ac:dyDescent="0.2">
      <c r="A64" s="2" t="s">
        <v>156</v>
      </c>
      <c r="B64" s="2" t="s">
        <v>157</v>
      </c>
      <c r="C64" s="3" t="s">
        <v>24</v>
      </c>
      <c r="D64" s="4">
        <v>33.32</v>
      </c>
      <c r="E64" s="4">
        <v>9.06</v>
      </c>
      <c r="F64" s="4">
        <v>9.06</v>
      </c>
      <c r="G64" s="4">
        <v>9.06</v>
      </c>
      <c r="H64" s="5">
        <v>19.97</v>
      </c>
      <c r="I64" s="4">
        <v>13.14</v>
      </c>
      <c r="J64" s="4">
        <v>13.14</v>
      </c>
      <c r="K64" s="4">
        <f t="shared" si="2"/>
        <v>9.06</v>
      </c>
      <c r="L64" s="4">
        <v>13.14</v>
      </c>
      <c r="M64" s="4">
        <f t="shared" si="0"/>
        <v>9.5130000000000017</v>
      </c>
      <c r="N64" s="4">
        <f t="shared" si="3"/>
        <v>9.5130000000000017</v>
      </c>
      <c r="O64" s="6">
        <v>30.8</v>
      </c>
      <c r="P64" s="4">
        <f t="shared" si="4"/>
        <v>6.7949999999999999</v>
      </c>
    </row>
    <row r="65" spans="1:16" x14ac:dyDescent="0.2">
      <c r="A65" s="2" t="s">
        <v>158</v>
      </c>
      <c r="B65" s="2" t="s">
        <v>159</v>
      </c>
      <c r="C65" s="3" t="s">
        <v>18</v>
      </c>
      <c r="D65" s="4">
        <v>29.33</v>
      </c>
      <c r="E65" s="4">
        <v>31.04</v>
      </c>
      <c r="F65" s="4">
        <v>31.04</v>
      </c>
      <c r="G65" s="4">
        <v>31.04</v>
      </c>
      <c r="H65" s="5">
        <v>37.43</v>
      </c>
      <c r="I65" s="4">
        <v>32.42</v>
      </c>
      <c r="J65" s="4">
        <v>32.42</v>
      </c>
      <c r="K65" s="4">
        <f t="shared" si="2"/>
        <v>31.04</v>
      </c>
      <c r="L65" s="4">
        <v>32.42</v>
      </c>
      <c r="M65" s="4">
        <f t="shared" si="0"/>
        <v>32.591999999999999</v>
      </c>
      <c r="N65" s="4">
        <f t="shared" si="3"/>
        <v>32.591999999999999</v>
      </c>
      <c r="O65" s="6">
        <v>31.18</v>
      </c>
      <c r="P65" s="4">
        <f t="shared" si="4"/>
        <v>23.28</v>
      </c>
    </row>
    <row r="66" spans="1:16" x14ac:dyDescent="0.2">
      <c r="A66" s="2" t="s">
        <v>158</v>
      </c>
      <c r="B66" s="2" t="s">
        <v>160</v>
      </c>
      <c r="C66" s="3" t="s">
        <v>18</v>
      </c>
      <c r="D66" s="4">
        <v>29.87</v>
      </c>
      <c r="E66" s="4">
        <v>31.04</v>
      </c>
      <c r="F66" s="4">
        <v>31.04</v>
      </c>
      <c r="G66" s="4">
        <v>31.04</v>
      </c>
      <c r="H66" s="5">
        <v>37.43</v>
      </c>
      <c r="I66" s="4">
        <v>32.42</v>
      </c>
      <c r="J66" s="4">
        <v>32.42</v>
      </c>
      <c r="K66" s="4">
        <f t="shared" si="2"/>
        <v>31.04</v>
      </c>
      <c r="L66" s="4">
        <v>32.42</v>
      </c>
      <c r="M66" s="4">
        <f t="shared" si="0"/>
        <v>32.591999999999999</v>
      </c>
      <c r="N66" s="4">
        <f t="shared" si="3"/>
        <v>32.591999999999999</v>
      </c>
      <c r="O66" s="6">
        <v>31.18</v>
      </c>
      <c r="P66" s="4">
        <f t="shared" si="4"/>
        <v>23.28</v>
      </c>
    </row>
    <row r="67" spans="1:16" x14ac:dyDescent="0.2">
      <c r="A67" s="11" t="s">
        <v>161</v>
      </c>
      <c r="B67" s="11" t="s">
        <v>162</v>
      </c>
      <c r="C67" s="3" t="s">
        <v>18</v>
      </c>
      <c r="D67" s="4">
        <v>278.56</v>
      </c>
      <c r="E67" s="9">
        <v>261.23</v>
      </c>
      <c r="F67" s="4">
        <v>261.23</v>
      </c>
      <c r="G67" s="4">
        <v>261.23</v>
      </c>
      <c r="H67" s="5">
        <v>270.51</v>
      </c>
      <c r="I67" s="4">
        <v>278.56</v>
      </c>
      <c r="J67" s="4">
        <v>263.56</v>
      </c>
      <c r="K67" s="4">
        <f t="shared" si="2"/>
        <v>261.23</v>
      </c>
      <c r="L67" s="4">
        <v>273.20999999999998</v>
      </c>
      <c r="M67" s="4">
        <f t="shared" ref="M67:M109" si="5">E67*1.05</f>
        <v>274.29150000000004</v>
      </c>
      <c r="N67" s="4">
        <f t="shared" si="3"/>
        <v>274.29150000000004</v>
      </c>
      <c r="O67" s="6">
        <v>273.20999999999998</v>
      </c>
      <c r="P67" s="4">
        <f t="shared" si="4"/>
        <v>195.92250000000001</v>
      </c>
    </row>
    <row r="68" spans="1:16" x14ac:dyDescent="0.2">
      <c r="A68" s="2" t="s">
        <v>163</v>
      </c>
      <c r="B68" s="2" t="s">
        <v>164</v>
      </c>
      <c r="C68" s="3" t="s">
        <v>48</v>
      </c>
      <c r="D68" s="4">
        <v>17.05</v>
      </c>
      <c r="E68" s="4">
        <v>18.105</v>
      </c>
      <c r="F68" s="4">
        <v>18.105</v>
      </c>
      <c r="G68" s="4">
        <v>18.105</v>
      </c>
      <c r="H68" s="5">
        <v>19.510000000000002</v>
      </c>
      <c r="I68" s="4">
        <v>18.079999999999998</v>
      </c>
      <c r="J68" s="4">
        <v>18.079999999999998</v>
      </c>
      <c r="K68" s="4">
        <f t="shared" si="2"/>
        <v>18.105</v>
      </c>
      <c r="L68" s="4">
        <v>18.079999999999998</v>
      </c>
      <c r="M68" s="4">
        <f t="shared" si="5"/>
        <v>19.010250000000003</v>
      </c>
      <c r="N68" s="4">
        <f t="shared" ref="N68:N123" si="6">E68*1.05</f>
        <v>19.010250000000003</v>
      </c>
      <c r="O68" s="6">
        <v>18.03</v>
      </c>
      <c r="P68" s="4">
        <f t="shared" si="4"/>
        <v>13.578749999999999</v>
      </c>
    </row>
    <row r="69" spans="1:16" x14ac:dyDescent="0.2">
      <c r="A69" s="2" t="s">
        <v>165</v>
      </c>
      <c r="B69" s="2" t="s">
        <v>166</v>
      </c>
      <c r="C69" s="3" t="s">
        <v>24</v>
      </c>
      <c r="D69" s="4">
        <v>0.38</v>
      </c>
      <c r="E69" s="4">
        <v>0.22</v>
      </c>
      <c r="F69" s="4">
        <v>0.22</v>
      </c>
      <c r="G69" s="4">
        <v>0.22</v>
      </c>
      <c r="H69" s="5">
        <v>0.27</v>
      </c>
      <c r="I69" s="4">
        <v>0.6</v>
      </c>
      <c r="J69" s="4">
        <v>0.24</v>
      </c>
      <c r="K69" s="4">
        <f t="shared" si="2"/>
        <v>0.22</v>
      </c>
      <c r="L69" s="4">
        <v>0.24</v>
      </c>
      <c r="M69" s="4">
        <f t="shared" si="5"/>
        <v>0.23100000000000001</v>
      </c>
      <c r="N69" s="4">
        <f t="shared" si="6"/>
        <v>0.23100000000000001</v>
      </c>
      <c r="O69" s="6">
        <v>0.22</v>
      </c>
      <c r="P69" s="4">
        <f t="shared" si="4"/>
        <v>0.16500000000000001</v>
      </c>
    </row>
    <row r="70" spans="1:16" x14ac:dyDescent="0.2">
      <c r="A70" s="2" t="s">
        <v>165</v>
      </c>
      <c r="B70" s="2" t="s">
        <v>167</v>
      </c>
      <c r="C70" s="3" t="s">
        <v>24</v>
      </c>
      <c r="D70" s="4">
        <v>0.22</v>
      </c>
      <c r="E70" s="4">
        <v>0.22</v>
      </c>
      <c r="F70" s="4">
        <v>0.22</v>
      </c>
      <c r="G70" s="4">
        <v>0.22</v>
      </c>
      <c r="H70" s="5">
        <v>0.27</v>
      </c>
      <c r="I70" s="4">
        <v>0.6</v>
      </c>
      <c r="J70" s="4">
        <v>0.24</v>
      </c>
      <c r="K70" s="4">
        <f t="shared" ref="K70:K109" si="7">E70</f>
        <v>0.22</v>
      </c>
      <c r="L70" s="4">
        <v>0.24</v>
      </c>
      <c r="M70" s="4">
        <f t="shared" si="5"/>
        <v>0.23100000000000001</v>
      </c>
      <c r="N70" s="4">
        <f t="shared" si="6"/>
        <v>0.23100000000000001</v>
      </c>
      <c r="O70" s="6">
        <v>0.22</v>
      </c>
      <c r="P70" s="4">
        <f t="shared" si="4"/>
        <v>0.16500000000000001</v>
      </c>
    </row>
    <row r="71" spans="1:16" x14ac:dyDescent="0.2">
      <c r="A71" s="2" t="s">
        <v>168</v>
      </c>
      <c r="B71" s="2" t="s">
        <v>169</v>
      </c>
      <c r="C71" s="3" t="s">
        <v>21</v>
      </c>
      <c r="D71" s="4">
        <v>0.12</v>
      </c>
      <c r="E71" s="4">
        <v>0.05</v>
      </c>
      <c r="F71" s="4">
        <v>0.05</v>
      </c>
      <c r="G71" s="4">
        <v>0.05</v>
      </c>
      <c r="H71" s="5">
        <v>0.05</v>
      </c>
      <c r="I71" s="4">
        <v>0.05</v>
      </c>
      <c r="J71" s="4">
        <v>0.05</v>
      </c>
      <c r="K71" s="4">
        <f t="shared" si="7"/>
        <v>0.05</v>
      </c>
      <c r="L71" s="4">
        <v>0.05</v>
      </c>
      <c r="M71" s="4">
        <f t="shared" si="5"/>
        <v>5.2500000000000005E-2</v>
      </c>
      <c r="N71" s="4">
        <f t="shared" si="6"/>
        <v>5.2500000000000005E-2</v>
      </c>
      <c r="O71" s="6">
        <v>0.06</v>
      </c>
      <c r="P71" s="4">
        <f t="shared" si="4"/>
        <v>3.7500000000000006E-2</v>
      </c>
    </row>
    <row r="72" spans="1:16" x14ac:dyDescent="0.2">
      <c r="A72" s="2" t="s">
        <v>170</v>
      </c>
      <c r="B72" s="2" t="s">
        <v>171</v>
      </c>
      <c r="C72" s="3" t="s">
        <v>18</v>
      </c>
      <c r="D72" s="4">
        <v>0.06</v>
      </c>
      <c r="E72" s="4">
        <v>0.03</v>
      </c>
      <c r="F72" s="4">
        <v>0.03</v>
      </c>
      <c r="G72" s="4">
        <v>0.03</v>
      </c>
      <c r="H72" s="5">
        <v>0.03</v>
      </c>
      <c r="I72" s="4">
        <v>0.03</v>
      </c>
      <c r="J72" s="4">
        <v>0.03</v>
      </c>
      <c r="K72" s="4">
        <f t="shared" si="7"/>
        <v>0.03</v>
      </c>
      <c r="L72" s="4">
        <v>0.03</v>
      </c>
      <c r="M72" s="4">
        <f t="shared" si="5"/>
        <v>3.15E-2</v>
      </c>
      <c r="N72" s="4">
        <f t="shared" si="6"/>
        <v>3.15E-2</v>
      </c>
      <c r="O72" s="6">
        <v>0.03</v>
      </c>
      <c r="P72" s="4">
        <f t="shared" si="4"/>
        <v>2.2499999999999999E-2</v>
      </c>
    </row>
    <row r="73" spans="1:16" x14ac:dyDescent="0.2">
      <c r="A73" s="2" t="s">
        <v>172</v>
      </c>
      <c r="B73" s="2" t="s">
        <v>173</v>
      </c>
      <c r="C73" s="3" t="s">
        <v>24</v>
      </c>
      <c r="D73" s="4">
        <v>32.130000000000003</v>
      </c>
      <c r="E73" s="4">
        <v>35.72</v>
      </c>
      <c r="F73" s="4">
        <v>35.72</v>
      </c>
      <c r="G73" s="4">
        <v>35.72</v>
      </c>
      <c r="H73" s="5">
        <v>44.73</v>
      </c>
      <c r="I73" s="4">
        <v>35.39</v>
      </c>
      <c r="J73" s="4">
        <v>35.39</v>
      </c>
      <c r="K73" s="4">
        <f t="shared" si="7"/>
        <v>35.72</v>
      </c>
      <c r="L73" s="4">
        <v>35.39</v>
      </c>
      <c r="M73" s="4">
        <f t="shared" si="5"/>
        <v>37.506</v>
      </c>
      <c r="N73" s="4">
        <f t="shared" si="6"/>
        <v>37.506</v>
      </c>
      <c r="O73" s="6">
        <v>36.659999999999997</v>
      </c>
      <c r="P73" s="4">
        <f t="shared" si="4"/>
        <v>26.79</v>
      </c>
    </row>
    <row r="74" spans="1:16" x14ac:dyDescent="0.2">
      <c r="A74" s="11" t="s">
        <v>172</v>
      </c>
      <c r="B74" s="11" t="s">
        <v>174</v>
      </c>
      <c r="C74" s="3" t="s">
        <v>24</v>
      </c>
      <c r="D74" s="9" t="s">
        <v>35</v>
      </c>
      <c r="E74" s="4">
        <v>35.72</v>
      </c>
      <c r="F74" s="4">
        <v>35.72</v>
      </c>
      <c r="G74" s="4">
        <v>35.72</v>
      </c>
      <c r="H74" s="5">
        <v>44.73</v>
      </c>
      <c r="I74" s="4">
        <v>35.39</v>
      </c>
      <c r="J74" s="4">
        <v>35.39</v>
      </c>
      <c r="K74" s="4">
        <f t="shared" si="7"/>
        <v>35.72</v>
      </c>
      <c r="L74" s="4">
        <v>35.39</v>
      </c>
      <c r="M74" s="4">
        <f t="shared" si="5"/>
        <v>37.506</v>
      </c>
      <c r="N74" s="4">
        <f t="shared" si="6"/>
        <v>37.506</v>
      </c>
      <c r="O74" s="6">
        <v>36.659999999999997</v>
      </c>
      <c r="P74" s="4">
        <f t="shared" si="4"/>
        <v>26.79</v>
      </c>
    </row>
    <row r="75" spans="1:16" x14ac:dyDescent="0.2">
      <c r="A75" s="11" t="s">
        <v>175</v>
      </c>
      <c r="B75" s="11" t="s">
        <v>176</v>
      </c>
      <c r="C75" s="3" t="s">
        <v>24</v>
      </c>
      <c r="D75" s="9" t="s">
        <v>35</v>
      </c>
      <c r="E75" s="4">
        <v>32.19</v>
      </c>
      <c r="F75" s="4">
        <v>32.19</v>
      </c>
      <c r="G75" s="4">
        <v>32.19</v>
      </c>
      <c r="H75" s="5">
        <v>28.8</v>
      </c>
      <c r="I75" s="4">
        <v>38.22</v>
      </c>
      <c r="J75" s="4">
        <v>38.22</v>
      </c>
      <c r="K75" s="4">
        <f t="shared" si="7"/>
        <v>32.19</v>
      </c>
      <c r="L75" s="4">
        <v>38.22</v>
      </c>
      <c r="M75" s="4">
        <f t="shared" si="5"/>
        <v>33.799500000000002</v>
      </c>
      <c r="N75" s="4">
        <f t="shared" si="6"/>
        <v>33.799500000000002</v>
      </c>
      <c r="O75" s="6">
        <v>24.45</v>
      </c>
      <c r="P75" s="4">
        <f t="shared" si="4"/>
        <v>24.142499999999998</v>
      </c>
    </row>
    <row r="76" spans="1:16" x14ac:dyDescent="0.2">
      <c r="A76" s="2" t="s">
        <v>177</v>
      </c>
      <c r="B76" s="2" t="s">
        <v>178</v>
      </c>
      <c r="C76" s="3" t="s">
        <v>24</v>
      </c>
      <c r="D76" s="4">
        <v>0.05</v>
      </c>
      <c r="E76" s="4">
        <v>0.02</v>
      </c>
      <c r="F76" s="4">
        <v>0.02</v>
      </c>
      <c r="G76" s="4">
        <v>0.02</v>
      </c>
      <c r="H76" s="5">
        <v>0.03</v>
      </c>
      <c r="I76" s="4">
        <v>0.02</v>
      </c>
      <c r="J76" s="4">
        <v>0.02</v>
      </c>
      <c r="K76" s="4">
        <f t="shared" si="7"/>
        <v>0.02</v>
      </c>
      <c r="L76" s="4">
        <v>0.02</v>
      </c>
      <c r="M76" s="4">
        <f t="shared" si="5"/>
        <v>2.1000000000000001E-2</v>
      </c>
      <c r="N76" s="4">
        <f t="shared" si="6"/>
        <v>2.1000000000000001E-2</v>
      </c>
      <c r="O76" s="6">
        <v>0.02</v>
      </c>
      <c r="P76" s="4">
        <f t="shared" si="4"/>
        <v>1.4999999999999999E-2</v>
      </c>
    </row>
    <row r="77" spans="1:16" x14ac:dyDescent="0.2">
      <c r="A77" s="2" t="s">
        <v>179</v>
      </c>
      <c r="B77" s="2" t="s">
        <v>180</v>
      </c>
      <c r="C77" s="3" t="s">
        <v>181</v>
      </c>
      <c r="D77" s="4">
        <v>1891.17</v>
      </c>
      <c r="E77" s="4">
        <v>1765.57</v>
      </c>
      <c r="F77" s="4">
        <v>1765.57</v>
      </c>
      <c r="G77" s="4">
        <v>1765.57</v>
      </c>
      <c r="H77" s="5">
        <v>1078.8</v>
      </c>
      <c r="I77" s="4">
        <v>1963.56</v>
      </c>
      <c r="J77" s="4">
        <v>1763.87</v>
      </c>
      <c r="K77" s="4">
        <f t="shared" si="7"/>
        <v>1765.57</v>
      </c>
      <c r="L77" s="4">
        <v>1763.87</v>
      </c>
      <c r="M77" s="4">
        <f t="shared" si="5"/>
        <v>1853.8485000000001</v>
      </c>
      <c r="N77" s="4">
        <f t="shared" si="6"/>
        <v>1853.8485000000001</v>
      </c>
      <c r="O77" s="6">
        <v>1737.1</v>
      </c>
      <c r="P77" s="4">
        <f t="shared" si="4"/>
        <v>1324.1775</v>
      </c>
    </row>
    <row r="78" spans="1:16" x14ac:dyDescent="0.2">
      <c r="A78" s="2" t="s">
        <v>182</v>
      </c>
      <c r="B78" s="2" t="s">
        <v>183</v>
      </c>
      <c r="C78" s="3" t="s">
        <v>24</v>
      </c>
      <c r="D78" s="4">
        <v>34.33</v>
      </c>
      <c r="E78" s="4">
        <v>39.950000000000003</v>
      </c>
      <c r="F78" s="4">
        <v>39.950000000000003</v>
      </c>
      <c r="G78" s="4">
        <v>39.950000000000003</v>
      </c>
      <c r="H78" s="5">
        <v>57.81</v>
      </c>
      <c r="I78" s="4">
        <v>63.49</v>
      </c>
      <c r="J78" s="4">
        <v>57.03</v>
      </c>
      <c r="K78" s="4">
        <f t="shared" si="7"/>
        <v>39.950000000000003</v>
      </c>
      <c r="L78" s="4">
        <v>57.03</v>
      </c>
      <c r="M78" s="4">
        <f t="shared" si="5"/>
        <v>41.947500000000005</v>
      </c>
      <c r="N78" s="4">
        <f t="shared" si="6"/>
        <v>41.947500000000005</v>
      </c>
      <c r="O78" s="6">
        <v>51.41</v>
      </c>
      <c r="P78" s="4">
        <f t="shared" ref="P78:P111" si="8">E78*0.75</f>
        <v>29.962500000000002</v>
      </c>
    </row>
    <row r="79" spans="1:16" x14ac:dyDescent="0.2">
      <c r="A79" s="2" t="s">
        <v>184</v>
      </c>
      <c r="B79" s="2" t="s">
        <v>185</v>
      </c>
      <c r="C79" s="3" t="s">
        <v>186</v>
      </c>
      <c r="D79" s="4">
        <v>647.76</v>
      </c>
      <c r="E79" s="4">
        <v>693.56</v>
      </c>
      <c r="F79" s="4">
        <v>693.56</v>
      </c>
      <c r="G79" s="4">
        <v>693.56</v>
      </c>
      <c r="H79" s="5">
        <v>243.65</v>
      </c>
      <c r="I79" s="4">
        <v>786.67</v>
      </c>
      <c r="J79" s="4">
        <v>706.67</v>
      </c>
      <c r="K79" s="4">
        <f t="shared" si="7"/>
        <v>693.56</v>
      </c>
      <c r="L79" s="4">
        <v>706.67</v>
      </c>
      <c r="M79" s="4">
        <f t="shared" si="5"/>
        <v>728.23799999999994</v>
      </c>
      <c r="N79" s="4">
        <f t="shared" si="6"/>
        <v>728.23799999999994</v>
      </c>
      <c r="O79" s="6">
        <v>220.74</v>
      </c>
      <c r="P79" s="4">
        <f t="shared" si="8"/>
        <v>520.16999999999996</v>
      </c>
    </row>
    <row r="80" spans="1:16" x14ac:dyDescent="0.2">
      <c r="A80" s="2" t="s">
        <v>187</v>
      </c>
      <c r="B80" s="2" t="s">
        <v>188</v>
      </c>
      <c r="C80" s="3" t="s">
        <v>91</v>
      </c>
      <c r="D80" s="4">
        <v>1.34</v>
      </c>
      <c r="E80" s="4">
        <v>1.66</v>
      </c>
      <c r="F80" s="4">
        <v>1.66</v>
      </c>
      <c r="G80" s="4">
        <v>1.66</v>
      </c>
      <c r="H80" s="5">
        <v>0.43</v>
      </c>
      <c r="I80" s="4">
        <v>1.57</v>
      </c>
      <c r="J80" s="4">
        <v>1.41</v>
      </c>
      <c r="K80" s="4">
        <f t="shared" si="7"/>
        <v>1.66</v>
      </c>
      <c r="L80" s="4">
        <v>1.41</v>
      </c>
      <c r="M80" s="4">
        <f t="shared" si="5"/>
        <v>1.7429999999999999</v>
      </c>
      <c r="N80" s="4">
        <f t="shared" si="6"/>
        <v>1.7429999999999999</v>
      </c>
      <c r="O80" s="6">
        <v>1.32</v>
      </c>
      <c r="P80" s="4">
        <f t="shared" si="8"/>
        <v>1.2449999999999999</v>
      </c>
    </row>
    <row r="81" spans="1:16" x14ac:dyDescent="0.2">
      <c r="A81" s="2" t="s">
        <v>189</v>
      </c>
      <c r="B81" s="2" t="s">
        <v>190</v>
      </c>
      <c r="C81" s="3" t="s">
        <v>56</v>
      </c>
      <c r="D81" s="4">
        <v>0.2</v>
      </c>
      <c r="E81" s="4">
        <v>0.05</v>
      </c>
      <c r="F81" s="4">
        <v>0.05</v>
      </c>
      <c r="G81" s="4">
        <v>0.05</v>
      </c>
      <c r="H81" s="5">
        <v>0.08</v>
      </c>
      <c r="I81" s="4">
        <v>0.06</v>
      </c>
      <c r="J81" s="4">
        <v>0.06</v>
      </c>
      <c r="K81" s="4">
        <f t="shared" si="7"/>
        <v>0.05</v>
      </c>
      <c r="L81" s="4">
        <v>0.06</v>
      </c>
      <c r="M81" s="4">
        <f t="shared" si="5"/>
        <v>5.2500000000000005E-2</v>
      </c>
      <c r="N81" s="4">
        <f t="shared" si="6"/>
        <v>5.2500000000000005E-2</v>
      </c>
      <c r="O81" s="6">
        <v>0.06</v>
      </c>
      <c r="P81" s="4">
        <f t="shared" si="8"/>
        <v>3.7500000000000006E-2</v>
      </c>
    </row>
    <row r="82" spans="1:16" x14ac:dyDescent="0.2">
      <c r="A82" s="2" t="s">
        <v>191</v>
      </c>
      <c r="B82" s="2" t="s">
        <v>192</v>
      </c>
      <c r="C82" s="3" t="s">
        <v>24</v>
      </c>
      <c r="D82" s="4">
        <v>186.96</v>
      </c>
      <c r="E82" s="4">
        <v>188.35</v>
      </c>
      <c r="F82" s="4">
        <v>188.35</v>
      </c>
      <c r="G82" s="4">
        <v>188.35</v>
      </c>
      <c r="H82" s="5">
        <v>231.59</v>
      </c>
      <c r="I82" s="4">
        <v>221.72</v>
      </c>
      <c r="J82" s="4">
        <v>199.17</v>
      </c>
      <c r="K82" s="4">
        <f t="shared" si="7"/>
        <v>188.35</v>
      </c>
      <c r="L82" s="4">
        <v>199.17</v>
      </c>
      <c r="M82" s="4">
        <f t="shared" si="5"/>
        <v>197.76750000000001</v>
      </c>
      <c r="N82" s="4">
        <f t="shared" si="6"/>
        <v>197.76750000000001</v>
      </c>
      <c r="O82" s="6">
        <v>212.2</v>
      </c>
      <c r="P82" s="4">
        <f t="shared" si="8"/>
        <v>141.26249999999999</v>
      </c>
    </row>
    <row r="83" spans="1:16" x14ac:dyDescent="0.2">
      <c r="A83" s="2" t="s">
        <v>191</v>
      </c>
      <c r="B83" s="2" t="s">
        <v>193</v>
      </c>
      <c r="C83" s="3" t="s">
        <v>24</v>
      </c>
      <c r="D83" s="4">
        <v>181.76</v>
      </c>
      <c r="E83" s="4">
        <v>188.35</v>
      </c>
      <c r="F83" s="4">
        <v>188.35</v>
      </c>
      <c r="G83" s="4">
        <v>188.35</v>
      </c>
      <c r="H83" s="5">
        <v>231.59</v>
      </c>
      <c r="I83" s="4">
        <v>221.72</v>
      </c>
      <c r="J83" s="4">
        <v>199.17</v>
      </c>
      <c r="K83" s="4">
        <f t="shared" si="7"/>
        <v>188.35</v>
      </c>
      <c r="L83" s="4">
        <v>199.17</v>
      </c>
      <c r="M83" s="4">
        <f t="shared" si="5"/>
        <v>197.76750000000001</v>
      </c>
      <c r="N83" s="4">
        <f t="shared" si="6"/>
        <v>197.76750000000001</v>
      </c>
      <c r="O83" s="6">
        <v>212.2</v>
      </c>
      <c r="P83" s="4">
        <f t="shared" si="8"/>
        <v>141.26249999999999</v>
      </c>
    </row>
    <row r="84" spans="1:16" x14ac:dyDescent="0.2">
      <c r="A84" s="2" t="s">
        <v>194</v>
      </c>
      <c r="B84" s="2" t="s">
        <v>195</v>
      </c>
      <c r="C84" s="3" t="s">
        <v>24</v>
      </c>
      <c r="D84" s="4">
        <v>0.17</v>
      </c>
      <c r="E84" s="4">
        <v>0.09</v>
      </c>
      <c r="F84" s="4">
        <v>0.09</v>
      </c>
      <c r="G84" s="4">
        <v>0.09</v>
      </c>
      <c r="H84" s="5">
        <v>0.14000000000000001</v>
      </c>
      <c r="I84" s="4">
        <v>1.43</v>
      </c>
      <c r="J84" s="4">
        <v>0.09</v>
      </c>
      <c r="K84" s="4">
        <f t="shared" si="7"/>
        <v>0.09</v>
      </c>
      <c r="L84" s="4">
        <v>0.84</v>
      </c>
      <c r="M84" s="4">
        <f t="shared" si="5"/>
        <v>9.4500000000000001E-2</v>
      </c>
      <c r="N84" s="4">
        <f t="shared" si="6"/>
        <v>9.4500000000000001E-2</v>
      </c>
      <c r="O84" s="6">
        <v>0.09</v>
      </c>
      <c r="P84" s="4">
        <f t="shared" si="8"/>
        <v>6.7500000000000004E-2</v>
      </c>
    </row>
    <row r="85" spans="1:16" x14ac:dyDescent="0.2">
      <c r="A85" s="2" t="s">
        <v>196</v>
      </c>
      <c r="B85" s="2" t="s">
        <v>197</v>
      </c>
      <c r="C85" s="3" t="s">
        <v>198</v>
      </c>
      <c r="D85" s="4">
        <v>14.51</v>
      </c>
      <c r="E85" s="4">
        <v>12.42</v>
      </c>
      <c r="F85" s="4">
        <v>12.42</v>
      </c>
      <c r="G85" s="4">
        <v>12.42</v>
      </c>
      <c r="H85" s="5">
        <v>8.64</v>
      </c>
      <c r="I85" s="4">
        <v>66.62</v>
      </c>
      <c r="J85" s="4">
        <v>11.29</v>
      </c>
      <c r="K85" s="4">
        <f t="shared" si="7"/>
        <v>12.42</v>
      </c>
      <c r="L85" s="4">
        <v>11.29</v>
      </c>
      <c r="M85" s="4">
        <f t="shared" si="5"/>
        <v>13.041</v>
      </c>
      <c r="N85" s="4">
        <f t="shared" si="6"/>
        <v>13.041</v>
      </c>
      <c r="O85" s="6">
        <v>11.16</v>
      </c>
      <c r="P85" s="4">
        <f t="shared" si="8"/>
        <v>9.3149999999999995</v>
      </c>
    </row>
    <row r="86" spans="1:16" x14ac:dyDescent="0.2">
      <c r="A86" s="2" t="s">
        <v>199</v>
      </c>
      <c r="B86" s="2" t="s">
        <v>200</v>
      </c>
      <c r="C86" s="3" t="s">
        <v>201</v>
      </c>
      <c r="D86" s="4">
        <v>51.64</v>
      </c>
      <c r="E86" s="4">
        <v>55.29</v>
      </c>
      <c r="F86" s="4">
        <v>55.29</v>
      </c>
      <c r="G86" s="4">
        <v>55.29</v>
      </c>
      <c r="H86" s="5">
        <v>59.74</v>
      </c>
      <c r="I86" s="4">
        <v>65.209999999999994</v>
      </c>
      <c r="J86" s="4">
        <v>58.58</v>
      </c>
      <c r="K86" s="4">
        <f t="shared" si="7"/>
        <v>55.29</v>
      </c>
      <c r="L86" s="4">
        <v>58.57</v>
      </c>
      <c r="M86" s="4">
        <f t="shared" si="5"/>
        <v>58.054500000000004</v>
      </c>
      <c r="N86" s="4">
        <f t="shared" si="6"/>
        <v>58.054500000000004</v>
      </c>
      <c r="O86" s="6">
        <v>58.84</v>
      </c>
      <c r="P86" s="4">
        <f t="shared" si="8"/>
        <v>41.467500000000001</v>
      </c>
    </row>
    <row r="87" spans="1:16" x14ac:dyDescent="0.2">
      <c r="A87" s="2" t="s">
        <v>202</v>
      </c>
      <c r="B87" s="2" t="s">
        <v>203</v>
      </c>
      <c r="C87" s="3" t="s">
        <v>201</v>
      </c>
      <c r="D87" s="4">
        <v>0.35</v>
      </c>
      <c r="E87" s="4">
        <v>0.65</v>
      </c>
      <c r="F87" s="4">
        <v>0.65</v>
      </c>
      <c r="G87" s="4">
        <v>0.65</v>
      </c>
      <c r="H87" s="5">
        <v>1.81</v>
      </c>
      <c r="I87" s="4">
        <v>0.39</v>
      </c>
      <c r="J87" s="4">
        <v>0.35</v>
      </c>
      <c r="K87" s="4">
        <f t="shared" si="7"/>
        <v>0.65</v>
      </c>
      <c r="L87" s="4">
        <v>0.34</v>
      </c>
      <c r="M87" s="4">
        <f t="shared" si="5"/>
        <v>0.68250000000000011</v>
      </c>
      <c r="N87" s="4">
        <f t="shared" si="6"/>
        <v>0.68250000000000011</v>
      </c>
      <c r="O87" s="6">
        <v>0.45</v>
      </c>
      <c r="P87" s="4">
        <f t="shared" si="8"/>
        <v>0.48750000000000004</v>
      </c>
    </row>
    <row r="88" spans="1:16" x14ac:dyDescent="0.2">
      <c r="A88" s="2" t="s">
        <v>204</v>
      </c>
      <c r="B88" s="2" t="s">
        <v>205</v>
      </c>
      <c r="C88" s="3" t="s">
        <v>51</v>
      </c>
      <c r="D88" s="4">
        <v>340.5</v>
      </c>
      <c r="E88" s="4">
        <v>127.38</v>
      </c>
      <c r="F88" s="4">
        <v>127.38</v>
      </c>
      <c r="G88" s="4">
        <v>127.38</v>
      </c>
      <c r="H88" s="5">
        <v>22.62</v>
      </c>
      <c r="I88" s="4">
        <v>136.75</v>
      </c>
      <c r="J88" s="4">
        <v>122.84</v>
      </c>
      <c r="K88" s="4">
        <f t="shared" si="7"/>
        <v>127.38</v>
      </c>
      <c r="L88" s="4">
        <v>122.84</v>
      </c>
      <c r="M88" s="4">
        <f t="shared" si="5"/>
        <v>133.749</v>
      </c>
      <c r="N88" s="4">
        <f t="shared" si="6"/>
        <v>133.749</v>
      </c>
      <c r="O88" s="6">
        <v>58.4</v>
      </c>
      <c r="P88" s="4">
        <f t="shared" si="8"/>
        <v>95.534999999999997</v>
      </c>
    </row>
    <row r="89" spans="1:16" x14ac:dyDescent="0.2">
      <c r="A89" s="2" t="s">
        <v>206</v>
      </c>
      <c r="B89" s="2" t="s">
        <v>207</v>
      </c>
      <c r="C89" s="3" t="s">
        <v>24</v>
      </c>
      <c r="D89" s="4">
        <v>3973.53</v>
      </c>
      <c r="E89" s="4">
        <v>3824.52</v>
      </c>
      <c r="F89" s="4">
        <v>3824.52</v>
      </c>
      <c r="G89" s="4">
        <v>3824.52</v>
      </c>
      <c r="H89" s="5">
        <v>3692.76</v>
      </c>
      <c r="I89" s="4">
        <v>3768.81</v>
      </c>
      <c r="J89" s="4">
        <v>3768.81</v>
      </c>
      <c r="K89" s="4">
        <f t="shared" si="7"/>
        <v>3824.52</v>
      </c>
      <c r="L89" s="4">
        <v>3768.81</v>
      </c>
      <c r="M89" s="4">
        <f t="shared" si="5"/>
        <v>4015.7460000000001</v>
      </c>
      <c r="N89" s="4">
        <f t="shared" si="6"/>
        <v>4015.7460000000001</v>
      </c>
      <c r="O89" s="6">
        <v>3638.86</v>
      </c>
      <c r="P89" s="4">
        <f t="shared" si="8"/>
        <v>2868.39</v>
      </c>
    </row>
    <row r="90" spans="1:16" x14ac:dyDescent="0.2">
      <c r="A90" s="2" t="s">
        <v>208</v>
      </c>
      <c r="B90" s="2" t="s">
        <v>209</v>
      </c>
      <c r="C90" s="3" t="s">
        <v>63</v>
      </c>
      <c r="D90" s="4">
        <v>4.95</v>
      </c>
      <c r="E90" s="4">
        <v>3.41</v>
      </c>
      <c r="F90" s="4">
        <v>3.41</v>
      </c>
      <c r="G90" s="4">
        <v>3.41</v>
      </c>
      <c r="H90" s="5">
        <v>3.15</v>
      </c>
      <c r="I90" s="4">
        <v>3.41</v>
      </c>
      <c r="J90" s="4">
        <v>3.41</v>
      </c>
      <c r="K90" s="4">
        <f t="shared" si="7"/>
        <v>3.41</v>
      </c>
      <c r="L90" s="4">
        <v>3.41</v>
      </c>
      <c r="M90" s="4">
        <f t="shared" si="5"/>
        <v>3.5805000000000002</v>
      </c>
      <c r="N90" s="4">
        <f t="shared" si="6"/>
        <v>3.5805000000000002</v>
      </c>
      <c r="O90" s="6">
        <v>3.89</v>
      </c>
      <c r="P90" s="4">
        <f t="shared" si="8"/>
        <v>2.5575000000000001</v>
      </c>
    </row>
    <row r="91" spans="1:16" x14ac:dyDescent="0.2">
      <c r="A91" s="2" t="s">
        <v>210</v>
      </c>
      <c r="B91" s="2" t="s">
        <v>211</v>
      </c>
      <c r="C91" s="3" t="s">
        <v>51</v>
      </c>
      <c r="D91" s="4">
        <v>335.92</v>
      </c>
      <c r="E91" s="4">
        <v>382.19</v>
      </c>
      <c r="F91" s="4">
        <v>382.19</v>
      </c>
      <c r="G91" s="4">
        <v>382.19</v>
      </c>
      <c r="H91" s="5">
        <v>367.18</v>
      </c>
      <c r="I91" s="4">
        <v>426.77</v>
      </c>
      <c r="J91" s="4">
        <v>383.37</v>
      </c>
      <c r="K91" s="4">
        <f t="shared" si="7"/>
        <v>382.19</v>
      </c>
      <c r="L91" s="4">
        <v>383.37</v>
      </c>
      <c r="M91" s="4">
        <f t="shared" si="5"/>
        <v>401.29950000000002</v>
      </c>
      <c r="N91" s="4">
        <f t="shared" si="6"/>
        <v>401.29950000000002</v>
      </c>
      <c r="O91" s="7" t="s">
        <v>32</v>
      </c>
      <c r="P91" s="4">
        <f t="shared" si="8"/>
        <v>286.64249999999998</v>
      </c>
    </row>
    <row r="92" spans="1:16" x14ac:dyDescent="0.2">
      <c r="A92" s="2" t="s">
        <v>212</v>
      </c>
      <c r="B92" s="2" t="s">
        <v>213</v>
      </c>
      <c r="C92" s="3" t="s">
        <v>214</v>
      </c>
      <c r="D92" s="4">
        <v>5.36</v>
      </c>
      <c r="E92" s="4">
        <v>4.8499999999999996</v>
      </c>
      <c r="F92" s="4">
        <v>4.8499999999999996</v>
      </c>
      <c r="G92" s="4">
        <v>4.8499999999999996</v>
      </c>
      <c r="H92" s="5">
        <v>5.99</v>
      </c>
      <c r="I92" s="4">
        <v>4.83</v>
      </c>
      <c r="J92" s="4">
        <v>4.83</v>
      </c>
      <c r="K92" s="4">
        <f t="shared" si="7"/>
        <v>4.8499999999999996</v>
      </c>
      <c r="L92" s="4">
        <v>4.83</v>
      </c>
      <c r="M92" s="4">
        <f t="shared" si="5"/>
        <v>5.0925000000000002</v>
      </c>
      <c r="N92" s="4">
        <f t="shared" si="6"/>
        <v>5.0925000000000002</v>
      </c>
      <c r="O92" s="6">
        <v>4.97</v>
      </c>
      <c r="P92" s="4">
        <f t="shared" si="8"/>
        <v>3.6374999999999997</v>
      </c>
    </row>
    <row r="93" spans="1:16" x14ac:dyDescent="0.2">
      <c r="A93" s="2" t="s">
        <v>215</v>
      </c>
      <c r="B93" s="2" t="s">
        <v>216</v>
      </c>
      <c r="C93" s="3" t="s">
        <v>217</v>
      </c>
      <c r="D93" s="4">
        <v>29.87</v>
      </c>
      <c r="E93" s="4">
        <v>34.255000000000003</v>
      </c>
      <c r="F93" s="4">
        <v>34.255000000000003</v>
      </c>
      <c r="G93" s="4">
        <v>34.255000000000003</v>
      </c>
      <c r="H93" s="5">
        <v>37.299999999999997</v>
      </c>
      <c r="I93" s="4">
        <v>37.979999999999997</v>
      </c>
      <c r="J93" s="4">
        <v>33.909999999999997</v>
      </c>
      <c r="K93" s="4">
        <f t="shared" si="7"/>
        <v>34.255000000000003</v>
      </c>
      <c r="L93" s="4">
        <v>33.909999999999997</v>
      </c>
      <c r="M93" s="4">
        <f t="shared" si="5"/>
        <v>35.967750000000002</v>
      </c>
      <c r="N93" s="4">
        <f t="shared" si="6"/>
        <v>35.967750000000002</v>
      </c>
      <c r="O93" s="6">
        <v>30.77</v>
      </c>
      <c r="P93" s="4">
        <f t="shared" si="8"/>
        <v>25.691250000000004</v>
      </c>
    </row>
    <row r="94" spans="1:16" x14ac:dyDescent="0.2">
      <c r="A94" s="2" t="s">
        <v>218</v>
      </c>
      <c r="B94" s="2" t="s">
        <v>219</v>
      </c>
      <c r="C94" s="3" t="s">
        <v>63</v>
      </c>
      <c r="D94" s="4">
        <v>10.84</v>
      </c>
      <c r="E94" s="4">
        <v>11.11</v>
      </c>
      <c r="F94" s="4">
        <v>11.11</v>
      </c>
      <c r="G94" s="4">
        <v>11.11</v>
      </c>
      <c r="H94" s="5">
        <v>11.12</v>
      </c>
      <c r="I94" s="4">
        <v>11.05</v>
      </c>
      <c r="J94" s="4">
        <v>11.05</v>
      </c>
      <c r="K94" s="4">
        <f t="shared" si="7"/>
        <v>11.11</v>
      </c>
      <c r="L94" s="4">
        <v>11.05</v>
      </c>
      <c r="M94" s="4">
        <f t="shared" si="5"/>
        <v>11.6655</v>
      </c>
      <c r="N94" s="4">
        <f t="shared" si="6"/>
        <v>11.6655</v>
      </c>
      <c r="O94" s="6">
        <v>11</v>
      </c>
      <c r="P94" s="4">
        <f t="shared" si="8"/>
        <v>8.3324999999999996</v>
      </c>
    </row>
    <row r="95" spans="1:16" x14ac:dyDescent="0.2">
      <c r="A95" s="2" t="s">
        <v>220</v>
      </c>
      <c r="B95" s="2" t="s">
        <v>221</v>
      </c>
      <c r="C95" s="3" t="s">
        <v>222</v>
      </c>
      <c r="D95" s="4">
        <v>3.32</v>
      </c>
      <c r="E95" s="4">
        <v>2.39</v>
      </c>
      <c r="F95" s="4">
        <v>2.39</v>
      </c>
      <c r="G95" s="4">
        <v>2.39</v>
      </c>
      <c r="H95" s="5">
        <v>2.19</v>
      </c>
      <c r="I95" s="4">
        <v>2.21</v>
      </c>
      <c r="J95" s="4">
        <v>2.21</v>
      </c>
      <c r="K95" s="4">
        <f t="shared" si="7"/>
        <v>2.39</v>
      </c>
      <c r="L95" s="4">
        <v>2.21</v>
      </c>
      <c r="M95" s="4">
        <f t="shared" si="5"/>
        <v>2.5095000000000001</v>
      </c>
      <c r="N95" s="4">
        <f t="shared" si="6"/>
        <v>2.5095000000000001</v>
      </c>
      <c r="O95" s="6">
        <v>2.1800000000000002</v>
      </c>
      <c r="P95" s="4">
        <f t="shared" si="8"/>
        <v>1.7925</v>
      </c>
    </row>
    <row r="96" spans="1:16" x14ac:dyDescent="0.2">
      <c r="A96" s="2" t="s">
        <v>223</v>
      </c>
      <c r="B96" s="2" t="s">
        <v>224</v>
      </c>
      <c r="C96" s="3" t="s">
        <v>225</v>
      </c>
      <c r="D96" s="4">
        <v>0.21</v>
      </c>
      <c r="E96" s="4">
        <v>0.24</v>
      </c>
      <c r="F96" s="4">
        <v>0.24</v>
      </c>
      <c r="G96" s="4">
        <v>0.24</v>
      </c>
      <c r="H96" s="5">
        <v>0.06</v>
      </c>
      <c r="I96" s="4">
        <v>0.28999999999999998</v>
      </c>
      <c r="J96" s="4">
        <v>0.26</v>
      </c>
      <c r="K96" s="4">
        <f t="shared" si="7"/>
        <v>0.24</v>
      </c>
      <c r="L96" s="4">
        <v>0.26</v>
      </c>
      <c r="M96" s="4">
        <f t="shared" si="5"/>
        <v>0.252</v>
      </c>
      <c r="N96" s="4">
        <f t="shared" si="6"/>
        <v>0.252</v>
      </c>
      <c r="O96" s="6">
        <v>0.26</v>
      </c>
      <c r="P96" s="4">
        <f t="shared" si="8"/>
        <v>0.18</v>
      </c>
    </row>
    <row r="97" spans="1:16" x14ac:dyDescent="0.2">
      <c r="A97" s="2" t="s">
        <v>226</v>
      </c>
      <c r="B97" s="2" t="s">
        <v>227</v>
      </c>
      <c r="C97" s="3" t="s">
        <v>24</v>
      </c>
      <c r="D97" s="4">
        <v>97.21</v>
      </c>
      <c r="E97" s="4">
        <v>95.09</v>
      </c>
      <c r="F97" s="4">
        <v>95.09</v>
      </c>
      <c r="G97" s="4">
        <v>95.09</v>
      </c>
      <c r="H97" s="5">
        <v>90.64</v>
      </c>
      <c r="I97" s="4">
        <v>93.83</v>
      </c>
      <c r="J97" s="4">
        <v>93.83</v>
      </c>
      <c r="K97" s="4">
        <f t="shared" si="7"/>
        <v>95.09</v>
      </c>
      <c r="L97" s="4">
        <v>93.83</v>
      </c>
      <c r="M97" s="4">
        <f t="shared" si="5"/>
        <v>99.844500000000011</v>
      </c>
      <c r="N97" s="4">
        <f t="shared" si="6"/>
        <v>99.844500000000011</v>
      </c>
      <c r="O97" s="6">
        <v>94.15</v>
      </c>
      <c r="P97" s="4">
        <f t="shared" si="8"/>
        <v>71.317499999999995</v>
      </c>
    </row>
    <row r="98" spans="1:16" x14ac:dyDescent="0.2">
      <c r="A98" s="2" t="s">
        <v>228</v>
      </c>
      <c r="B98" s="2" t="s">
        <v>229</v>
      </c>
      <c r="C98" s="3" t="s">
        <v>73</v>
      </c>
      <c r="D98" s="4">
        <v>72.400000000000006</v>
      </c>
      <c r="E98" s="4">
        <v>74.88</v>
      </c>
      <c r="F98" s="4">
        <v>74.88</v>
      </c>
      <c r="G98" s="4">
        <v>74.88</v>
      </c>
      <c r="H98" s="5">
        <v>72.08</v>
      </c>
      <c r="I98" s="4">
        <v>83.4</v>
      </c>
      <c r="J98" s="4">
        <v>74.92</v>
      </c>
      <c r="K98" s="4">
        <f t="shared" si="7"/>
        <v>74.88</v>
      </c>
      <c r="L98" s="4">
        <v>74.91</v>
      </c>
      <c r="M98" s="4">
        <f t="shared" si="5"/>
        <v>78.623999999999995</v>
      </c>
      <c r="N98" s="4">
        <f t="shared" si="6"/>
        <v>78.623999999999995</v>
      </c>
      <c r="O98" s="6">
        <v>72.400000000000006</v>
      </c>
      <c r="P98" s="4">
        <f t="shared" si="8"/>
        <v>56.16</v>
      </c>
    </row>
    <row r="99" spans="1:16" x14ac:dyDescent="0.2">
      <c r="A99" s="2" t="s">
        <v>230</v>
      </c>
      <c r="B99" s="2" t="s">
        <v>231</v>
      </c>
      <c r="C99" s="3" t="s">
        <v>24</v>
      </c>
      <c r="D99" s="4">
        <v>11.63</v>
      </c>
      <c r="E99" s="4">
        <v>12.19</v>
      </c>
      <c r="F99" s="4">
        <v>12.19</v>
      </c>
      <c r="G99" s="4">
        <v>12.19</v>
      </c>
      <c r="H99" s="5">
        <v>12.64</v>
      </c>
      <c r="I99" s="4">
        <v>12.11</v>
      </c>
      <c r="J99" s="4">
        <v>12.11</v>
      </c>
      <c r="K99" s="4">
        <f t="shared" si="7"/>
        <v>12.19</v>
      </c>
      <c r="L99" s="4">
        <v>12.11</v>
      </c>
      <c r="M99" s="4">
        <f t="shared" si="5"/>
        <v>12.7995</v>
      </c>
      <c r="N99" s="4">
        <f t="shared" si="6"/>
        <v>12.7995</v>
      </c>
      <c r="O99" s="6">
        <v>12</v>
      </c>
      <c r="P99" s="4">
        <f t="shared" si="8"/>
        <v>9.1425000000000001</v>
      </c>
    </row>
    <row r="100" spans="1:16" x14ac:dyDescent="0.2">
      <c r="A100" s="2" t="s">
        <v>232</v>
      </c>
      <c r="B100" s="2" t="s">
        <v>233</v>
      </c>
      <c r="C100" s="3" t="s">
        <v>18</v>
      </c>
      <c r="D100" s="4">
        <v>374.43</v>
      </c>
      <c r="E100" s="4">
        <v>367.91</v>
      </c>
      <c r="F100" s="4">
        <v>367.91</v>
      </c>
      <c r="G100" s="4">
        <v>367.91</v>
      </c>
      <c r="H100" s="5">
        <v>353.72</v>
      </c>
      <c r="I100" s="4">
        <v>369.31</v>
      </c>
      <c r="J100" s="4">
        <v>369.31</v>
      </c>
      <c r="K100" s="4">
        <f t="shared" si="7"/>
        <v>367.91</v>
      </c>
      <c r="L100" s="4">
        <v>369.31</v>
      </c>
      <c r="M100" s="4">
        <f t="shared" si="5"/>
        <v>386.30550000000005</v>
      </c>
      <c r="N100" s="4">
        <f t="shared" si="6"/>
        <v>386.30550000000005</v>
      </c>
      <c r="O100" s="6">
        <v>359.09</v>
      </c>
      <c r="P100" s="4">
        <f t="shared" si="8"/>
        <v>275.9325</v>
      </c>
    </row>
    <row r="101" spans="1:16" x14ac:dyDescent="0.2">
      <c r="A101" s="2" t="s">
        <v>234</v>
      </c>
      <c r="B101" s="2" t="s">
        <v>235</v>
      </c>
      <c r="C101" s="3" t="s">
        <v>146</v>
      </c>
      <c r="D101" s="4">
        <v>3.53</v>
      </c>
      <c r="E101" s="4">
        <v>2.02</v>
      </c>
      <c r="F101" s="4">
        <v>2.02</v>
      </c>
      <c r="G101" s="4">
        <v>2.02</v>
      </c>
      <c r="H101" s="5">
        <v>1.45</v>
      </c>
      <c r="I101" s="4">
        <v>2.0699999999999998</v>
      </c>
      <c r="J101" s="4">
        <v>2.0699999999999998</v>
      </c>
      <c r="K101" s="4">
        <f t="shared" si="7"/>
        <v>2.02</v>
      </c>
      <c r="L101" s="4">
        <v>2.0699999999999998</v>
      </c>
      <c r="M101" s="4">
        <f t="shared" si="5"/>
        <v>2.121</v>
      </c>
      <c r="N101" s="4">
        <f t="shared" si="6"/>
        <v>2.121</v>
      </c>
      <c r="O101" s="6">
        <v>2.46</v>
      </c>
      <c r="P101" s="4">
        <f t="shared" si="8"/>
        <v>1.5150000000000001</v>
      </c>
    </row>
    <row r="102" spans="1:16" x14ac:dyDescent="0.2">
      <c r="A102" s="2" t="s">
        <v>236</v>
      </c>
      <c r="B102" s="2" t="s">
        <v>237</v>
      </c>
      <c r="C102" s="3" t="s">
        <v>24</v>
      </c>
      <c r="D102" s="4">
        <v>5.43</v>
      </c>
      <c r="E102" s="4">
        <v>5.53</v>
      </c>
      <c r="F102" s="4">
        <v>5.53</v>
      </c>
      <c r="G102" s="4">
        <v>5.53</v>
      </c>
      <c r="H102" s="5">
        <v>6.52</v>
      </c>
      <c r="I102" s="4">
        <v>5.61</v>
      </c>
      <c r="J102" s="4">
        <v>5.61</v>
      </c>
      <c r="K102" s="4">
        <f t="shared" si="7"/>
        <v>5.53</v>
      </c>
      <c r="L102" s="4">
        <v>5.61</v>
      </c>
      <c r="M102" s="4">
        <f t="shared" si="5"/>
        <v>5.8065000000000007</v>
      </c>
      <c r="N102" s="4">
        <f t="shared" si="6"/>
        <v>5.8065000000000007</v>
      </c>
      <c r="O102" s="6">
        <v>5.79</v>
      </c>
      <c r="P102" s="4">
        <f t="shared" si="8"/>
        <v>4.1475</v>
      </c>
    </row>
    <row r="103" spans="1:16" x14ac:dyDescent="0.2">
      <c r="A103" s="2" t="s">
        <v>238</v>
      </c>
      <c r="B103" s="2" t="s">
        <v>239</v>
      </c>
      <c r="C103" s="3" t="s">
        <v>181</v>
      </c>
      <c r="D103" s="4">
        <v>356.84</v>
      </c>
      <c r="E103" s="4">
        <v>469.38</v>
      </c>
      <c r="F103" s="4">
        <v>469.38</v>
      </c>
      <c r="G103" s="4">
        <v>469.38</v>
      </c>
      <c r="H103" s="5">
        <v>922.89</v>
      </c>
      <c r="I103" s="4">
        <v>515.64</v>
      </c>
      <c r="J103" s="4">
        <v>463.2</v>
      </c>
      <c r="K103" s="4">
        <f t="shared" si="7"/>
        <v>469.38</v>
      </c>
      <c r="L103" s="4">
        <v>463.19</v>
      </c>
      <c r="M103" s="4">
        <f t="shared" si="5"/>
        <v>492.84899999999999</v>
      </c>
      <c r="N103" s="4">
        <f t="shared" si="6"/>
        <v>492.84899999999999</v>
      </c>
      <c r="O103" s="6">
        <v>491.9</v>
      </c>
      <c r="P103" s="4">
        <f t="shared" si="8"/>
        <v>352.03499999999997</v>
      </c>
    </row>
    <row r="104" spans="1:16" x14ac:dyDescent="0.2">
      <c r="A104" s="2" t="s">
        <v>240</v>
      </c>
      <c r="B104" s="2" t="s">
        <v>241</v>
      </c>
      <c r="C104" s="3" t="s">
        <v>225</v>
      </c>
      <c r="D104" s="4">
        <v>19.989999999999998</v>
      </c>
      <c r="E104" s="4">
        <v>8.51</v>
      </c>
      <c r="F104" s="4">
        <v>8.51</v>
      </c>
      <c r="G104" s="4">
        <v>8.51</v>
      </c>
      <c r="H104" s="5">
        <v>3.08</v>
      </c>
      <c r="I104" s="4">
        <v>6.69</v>
      </c>
      <c r="J104" s="4">
        <v>6.69</v>
      </c>
      <c r="K104" s="4">
        <f t="shared" si="7"/>
        <v>8.51</v>
      </c>
      <c r="L104" s="4">
        <v>6.69</v>
      </c>
      <c r="M104" s="4">
        <f t="shared" si="5"/>
        <v>8.9354999999999993</v>
      </c>
      <c r="N104" s="4">
        <f t="shared" si="6"/>
        <v>8.9354999999999993</v>
      </c>
      <c r="O104" s="6">
        <v>6.17</v>
      </c>
      <c r="P104" s="4">
        <f t="shared" si="8"/>
        <v>6.3825000000000003</v>
      </c>
    </row>
    <row r="105" spans="1:16" x14ac:dyDescent="0.2">
      <c r="A105" s="2" t="s">
        <v>242</v>
      </c>
      <c r="B105" s="2" t="s">
        <v>243</v>
      </c>
      <c r="C105" s="3" t="s">
        <v>244</v>
      </c>
      <c r="D105" s="4">
        <v>0.63</v>
      </c>
      <c r="E105" s="4">
        <v>0.67</v>
      </c>
      <c r="F105" s="4">
        <v>0.67</v>
      </c>
      <c r="G105" s="4">
        <v>0.67</v>
      </c>
      <c r="H105" s="5">
        <v>4.88</v>
      </c>
      <c r="I105" s="4">
        <v>0.64</v>
      </c>
      <c r="J105" s="4">
        <v>0.64</v>
      </c>
      <c r="K105" s="4">
        <f t="shared" si="7"/>
        <v>0.67</v>
      </c>
      <c r="L105" s="4">
        <v>0.64</v>
      </c>
      <c r="M105" s="4">
        <f t="shared" si="5"/>
        <v>0.70350000000000013</v>
      </c>
      <c r="N105" s="4">
        <f t="shared" si="6"/>
        <v>0.70350000000000013</v>
      </c>
      <c r="O105" s="6">
        <v>1.27</v>
      </c>
      <c r="P105" s="4">
        <f t="shared" si="8"/>
        <v>0.50250000000000006</v>
      </c>
    </row>
    <row r="106" spans="1:16" x14ac:dyDescent="0.2">
      <c r="A106" s="2" t="s">
        <v>245</v>
      </c>
      <c r="B106" s="2" t="s">
        <v>246</v>
      </c>
      <c r="C106" s="3" t="s">
        <v>125</v>
      </c>
      <c r="D106" s="4">
        <v>1.04</v>
      </c>
      <c r="E106" s="4">
        <v>0.43</v>
      </c>
      <c r="F106" s="4">
        <v>0.43</v>
      </c>
      <c r="G106" s="4">
        <v>0.43</v>
      </c>
      <c r="H106" s="5">
        <v>7.0000000000000007E-2</v>
      </c>
      <c r="I106" s="4">
        <v>0.41</v>
      </c>
      <c r="J106" s="4">
        <v>0.41</v>
      </c>
      <c r="K106" s="4">
        <f t="shared" si="7"/>
        <v>0.43</v>
      </c>
      <c r="L106" s="4">
        <v>0.41</v>
      </c>
      <c r="M106" s="4">
        <f t="shared" si="5"/>
        <v>0.45150000000000001</v>
      </c>
      <c r="N106" s="4">
        <f t="shared" si="6"/>
        <v>0.45150000000000001</v>
      </c>
      <c r="O106" s="6">
        <v>0.5</v>
      </c>
      <c r="P106" s="4">
        <f t="shared" si="8"/>
        <v>0.32250000000000001</v>
      </c>
    </row>
    <row r="107" spans="1:16" x14ac:dyDescent="0.2">
      <c r="A107" s="2" t="s">
        <v>247</v>
      </c>
      <c r="B107" s="2" t="s">
        <v>248</v>
      </c>
      <c r="C107" s="3" t="s">
        <v>249</v>
      </c>
      <c r="D107" s="4">
        <v>0.79</v>
      </c>
      <c r="E107" s="4">
        <v>0.13</v>
      </c>
      <c r="F107" s="4">
        <v>0.13</v>
      </c>
      <c r="G107" s="4">
        <v>0.13</v>
      </c>
      <c r="H107" s="5">
        <v>0.09</v>
      </c>
      <c r="I107" s="4">
        <v>0.12</v>
      </c>
      <c r="J107" s="4">
        <v>0.12</v>
      </c>
      <c r="K107" s="4">
        <f t="shared" si="7"/>
        <v>0.13</v>
      </c>
      <c r="L107" s="4">
        <v>0.12</v>
      </c>
      <c r="M107" s="4">
        <f t="shared" si="5"/>
        <v>0.13650000000000001</v>
      </c>
      <c r="N107" s="4">
        <f t="shared" si="6"/>
        <v>0.13650000000000001</v>
      </c>
      <c r="O107" s="6">
        <v>0.1</v>
      </c>
      <c r="P107" s="4">
        <f t="shared" si="8"/>
        <v>9.7500000000000003E-2</v>
      </c>
    </row>
    <row r="108" spans="1:16" x14ac:dyDescent="0.2">
      <c r="A108" s="2" t="s">
        <v>250</v>
      </c>
      <c r="B108" s="2" t="s">
        <v>251</v>
      </c>
      <c r="C108" s="3" t="s">
        <v>24</v>
      </c>
      <c r="D108" s="4">
        <v>5.05</v>
      </c>
      <c r="E108" s="4">
        <v>30.88</v>
      </c>
      <c r="F108" s="4">
        <v>30.88</v>
      </c>
      <c r="G108" s="4">
        <v>30.88</v>
      </c>
      <c r="H108" s="5">
        <v>3.79</v>
      </c>
      <c r="I108" s="4">
        <v>57.67</v>
      </c>
      <c r="J108" s="4">
        <v>5.08</v>
      </c>
      <c r="K108" s="4">
        <f t="shared" si="7"/>
        <v>30.88</v>
      </c>
      <c r="L108" s="4">
        <v>5.08</v>
      </c>
      <c r="M108" s="4">
        <f t="shared" si="5"/>
        <v>32.423999999999999</v>
      </c>
      <c r="N108" s="4">
        <f t="shared" si="6"/>
        <v>32.423999999999999</v>
      </c>
      <c r="O108" s="6">
        <v>5.2</v>
      </c>
      <c r="P108" s="4">
        <f t="shared" si="8"/>
        <v>23.16</v>
      </c>
    </row>
    <row r="109" spans="1:16" x14ac:dyDescent="0.2">
      <c r="A109" s="2" t="s">
        <v>250</v>
      </c>
      <c r="B109" s="2" t="s">
        <v>252</v>
      </c>
      <c r="C109" s="3" t="s">
        <v>24</v>
      </c>
      <c r="D109" s="4">
        <v>4.92</v>
      </c>
      <c r="E109" s="4">
        <v>30.88</v>
      </c>
      <c r="F109" s="4">
        <v>30.88</v>
      </c>
      <c r="G109" s="4">
        <v>30.88</v>
      </c>
      <c r="H109" s="5">
        <v>3.79</v>
      </c>
      <c r="I109" s="4">
        <v>57.67</v>
      </c>
      <c r="J109" s="4">
        <v>5.08</v>
      </c>
      <c r="K109" s="4">
        <f t="shared" si="7"/>
        <v>30.88</v>
      </c>
      <c r="L109" s="4">
        <v>5.08</v>
      </c>
      <c r="M109" s="4">
        <f t="shared" si="5"/>
        <v>32.423999999999999</v>
      </c>
      <c r="N109" s="4">
        <f t="shared" si="6"/>
        <v>32.423999999999999</v>
      </c>
      <c r="O109" s="6">
        <v>5.2</v>
      </c>
      <c r="P109" s="4">
        <f t="shared" si="8"/>
        <v>23.16</v>
      </c>
    </row>
    <row r="110" spans="1:16" x14ac:dyDescent="0.2">
      <c r="A110" s="8" t="s">
        <v>253</v>
      </c>
      <c r="B110" s="8" t="s">
        <v>254</v>
      </c>
      <c r="C110" s="3">
        <v>1</v>
      </c>
      <c r="D110" s="4">
        <v>123.75</v>
      </c>
      <c r="E110" s="4">
        <v>128.75</v>
      </c>
      <c r="F110" s="4" t="e">
        <f>#REF!*0.35</f>
        <v>#REF!</v>
      </c>
      <c r="G110" s="4" t="e">
        <f>#REF!*0.2</f>
        <v>#REF!</v>
      </c>
      <c r="H110" s="5">
        <v>125</v>
      </c>
      <c r="I110" s="4" t="e">
        <f>#REF!*0.4</f>
        <v>#REF!</v>
      </c>
      <c r="J110" s="4">
        <v>127.5</v>
      </c>
      <c r="K110" s="4">
        <v>127.5</v>
      </c>
      <c r="L110" s="4">
        <v>125</v>
      </c>
      <c r="M110" s="4">
        <v>123.75</v>
      </c>
      <c r="N110" s="4" t="e">
        <f>#REF!*0.2</f>
        <v>#REF!</v>
      </c>
      <c r="O110" s="7" t="s">
        <v>32</v>
      </c>
      <c r="P110" s="4" t="e">
        <f>#REF!*0.75</f>
        <v>#REF!</v>
      </c>
    </row>
    <row r="111" spans="1:16" x14ac:dyDescent="0.2">
      <c r="A111" s="11" t="s">
        <v>255</v>
      </c>
      <c r="B111" s="11" t="s">
        <v>256</v>
      </c>
      <c r="C111" s="3">
        <v>1</v>
      </c>
      <c r="D111" s="4">
        <v>11960.41</v>
      </c>
      <c r="E111" s="4">
        <v>12391.94</v>
      </c>
      <c r="F111" s="4" t="e">
        <f>#REF!*0.35</f>
        <v>#REF!</v>
      </c>
      <c r="G111" s="4" t="e">
        <f>#REF!*0.4</f>
        <v>#REF!</v>
      </c>
      <c r="H111" s="5">
        <v>12455.47</v>
      </c>
      <c r="I111" s="4" t="e">
        <f>#REF!*0.4</f>
        <v>#REF!</v>
      </c>
      <c r="J111" s="4">
        <v>12271.98</v>
      </c>
      <c r="K111" s="4">
        <f>12271.98</f>
        <v>12271.98</v>
      </c>
      <c r="L111" s="4">
        <v>12031.36</v>
      </c>
      <c r="M111" s="4">
        <v>11960.41</v>
      </c>
      <c r="N111" s="4" t="e">
        <f>#REF!*0.2</f>
        <v>#REF!</v>
      </c>
      <c r="O111" s="7" t="s">
        <v>32</v>
      </c>
      <c r="P111" s="4" t="e">
        <f>#REF!*0.75</f>
        <v>#REF!</v>
      </c>
    </row>
    <row r="112" spans="1:16" x14ac:dyDescent="0.2">
      <c r="A112" s="11" t="s">
        <v>255</v>
      </c>
      <c r="B112" s="11" t="s">
        <v>257</v>
      </c>
      <c r="C112" s="3">
        <v>1</v>
      </c>
      <c r="D112" s="4">
        <v>23920.83</v>
      </c>
      <c r="E112" s="4">
        <v>24783.88</v>
      </c>
      <c r="F112" s="4" t="e">
        <f>#REF!*0.35</f>
        <v>#REF!</v>
      </c>
      <c r="G112" s="4" t="e">
        <f>#REF!*0.4</f>
        <v>#REF!</v>
      </c>
      <c r="H112" s="5">
        <f>H111*2</f>
        <v>24910.94</v>
      </c>
      <c r="I112" s="4" t="e">
        <f>#REF!*0.4</f>
        <v>#REF!</v>
      </c>
      <c r="J112" s="4">
        <v>24543.97</v>
      </c>
      <c r="K112" s="4">
        <v>24543.97</v>
      </c>
      <c r="L112" s="4">
        <v>24062.720000000001</v>
      </c>
      <c r="M112" s="4">
        <v>23920.83</v>
      </c>
      <c r="N112" s="4" t="e">
        <f>#REF!*0.2</f>
        <v>#REF!</v>
      </c>
      <c r="O112" s="7" t="s">
        <v>32</v>
      </c>
      <c r="P112" s="4" t="e">
        <f>#REF!*0.75</f>
        <v>#REF!</v>
      </c>
    </row>
    <row r="113" spans="1:16" x14ac:dyDescent="0.2">
      <c r="A113" s="2" t="s">
        <v>255</v>
      </c>
      <c r="B113" s="2" t="s">
        <v>258</v>
      </c>
      <c r="C113" s="3">
        <v>1</v>
      </c>
      <c r="D113" s="4">
        <v>12011.17</v>
      </c>
      <c r="E113" s="4">
        <v>12754.13</v>
      </c>
      <c r="F113" s="4" t="e">
        <f>#REF!*0.35</f>
        <v>#REF!</v>
      </c>
      <c r="G113" s="4" t="e">
        <f>#REF!*0.4</f>
        <v>#REF!</v>
      </c>
      <c r="H113" s="5">
        <v>12382.65</v>
      </c>
      <c r="I113" s="4" t="e">
        <f>#REF!*0.4</f>
        <v>#REF!</v>
      </c>
      <c r="J113" s="4">
        <v>12630.3</v>
      </c>
      <c r="K113" s="4">
        <v>12630.3</v>
      </c>
      <c r="L113" s="4">
        <v>12382.65</v>
      </c>
      <c r="M113" s="4">
        <v>12011.17</v>
      </c>
      <c r="N113" s="4" t="e">
        <f>#REF!*0.2</f>
        <v>#REF!</v>
      </c>
      <c r="O113" s="7" t="s">
        <v>32</v>
      </c>
      <c r="P113" s="4" t="e">
        <f>#REF!*0.75</f>
        <v>#REF!</v>
      </c>
    </row>
    <row r="114" spans="1:16" x14ac:dyDescent="0.2">
      <c r="A114" s="2" t="s">
        <v>255</v>
      </c>
      <c r="B114" s="2" t="s">
        <v>259</v>
      </c>
      <c r="C114" s="3">
        <v>1</v>
      </c>
      <c r="D114" s="4">
        <v>16815.64</v>
      </c>
      <c r="E114" s="4">
        <v>17855.78</v>
      </c>
      <c r="F114" s="4" t="e">
        <f>#REF!*0.35</f>
        <v>#REF!</v>
      </c>
      <c r="G114" s="4" t="e">
        <f>#REF!*0.4</f>
        <v>#REF!</v>
      </c>
      <c r="H114" s="5">
        <v>17335.71</v>
      </c>
      <c r="I114" s="4" t="e">
        <f>#REF!*0.4</f>
        <v>#REF!</v>
      </c>
      <c r="J114" s="4">
        <v>17682.419999999998</v>
      </c>
      <c r="K114" s="4">
        <v>17682.419999999998</v>
      </c>
      <c r="L114" s="4">
        <v>17335.71</v>
      </c>
      <c r="M114" s="4">
        <v>16815.64</v>
      </c>
      <c r="N114" s="4" t="e">
        <f>#REF!*0.2</f>
        <v>#REF!</v>
      </c>
      <c r="O114" s="7" t="s">
        <v>32</v>
      </c>
      <c r="P114" s="4" t="e">
        <f>#REF!*0.75</f>
        <v>#REF!</v>
      </c>
    </row>
    <row r="115" spans="1:16" x14ac:dyDescent="0.2">
      <c r="A115" s="2" t="s">
        <v>255</v>
      </c>
      <c r="B115" s="2" t="s">
        <v>260</v>
      </c>
      <c r="C115" s="3">
        <v>1</v>
      </c>
      <c r="D115" s="4">
        <v>18016.75</v>
      </c>
      <c r="E115" s="4">
        <f>18573.97*1.03</f>
        <v>19131.189100000003</v>
      </c>
      <c r="F115" s="4" t="e">
        <f>#REF!*0.35</f>
        <v>#REF!</v>
      </c>
      <c r="G115" s="4" t="e">
        <f>#REF!*0.4</f>
        <v>#REF!</v>
      </c>
      <c r="H115" s="5">
        <v>18573.97</v>
      </c>
      <c r="I115" s="4" t="e">
        <f>#REF!*0.4</f>
        <v>#REF!</v>
      </c>
      <c r="J115" s="4">
        <f>18573.97*1.02</f>
        <v>18945.449400000001</v>
      </c>
      <c r="K115" s="4">
        <f>18945.45</f>
        <v>18945.45</v>
      </c>
      <c r="L115" s="4">
        <f>18573.97</f>
        <v>18573.97</v>
      </c>
      <c r="M115" s="4">
        <f>18016.75</f>
        <v>18016.75</v>
      </c>
      <c r="N115" s="4" t="e">
        <f>#REF!*0.2</f>
        <v>#REF!</v>
      </c>
      <c r="O115" s="7" t="s">
        <v>32</v>
      </c>
      <c r="P115" s="4" t="e">
        <f>#REF!*0.75</f>
        <v>#REF!</v>
      </c>
    </row>
    <row r="116" spans="1:16" x14ac:dyDescent="0.2">
      <c r="A116" s="2" t="s">
        <v>255</v>
      </c>
      <c r="B116" s="2" t="s">
        <v>261</v>
      </c>
      <c r="C116" s="3">
        <v>1</v>
      </c>
      <c r="D116" s="4">
        <v>26424.58</v>
      </c>
      <c r="E116" s="4">
        <f>27241.83*1.03</f>
        <v>28059.084900000002</v>
      </c>
      <c r="F116" s="4" t="e">
        <f>#REF!*0.35</f>
        <v>#REF!</v>
      </c>
      <c r="G116" s="4" t="e">
        <f>#REF!*0.4</f>
        <v>#REF!</v>
      </c>
      <c r="H116" s="5">
        <v>27241.83</v>
      </c>
      <c r="I116" s="4" t="e">
        <f>#REF!*0.4</f>
        <v>#REF!</v>
      </c>
      <c r="J116" s="4">
        <f>27241.83*1.02</f>
        <v>27786.6666</v>
      </c>
      <c r="K116" s="4">
        <v>27786.67</v>
      </c>
      <c r="L116" s="4">
        <v>27241.83</v>
      </c>
      <c r="M116" s="4">
        <v>26424.58</v>
      </c>
      <c r="N116" s="4" t="e">
        <f>#REF!*0.2</f>
        <v>#REF!</v>
      </c>
      <c r="O116" s="7" t="s">
        <v>32</v>
      </c>
      <c r="P116" s="4" t="e">
        <f>#REF!*0.75</f>
        <v>#REF!</v>
      </c>
    </row>
    <row r="117" spans="1:16" x14ac:dyDescent="0.2">
      <c r="A117" s="2" t="s">
        <v>262</v>
      </c>
      <c r="B117" s="2" t="s">
        <v>263</v>
      </c>
      <c r="C117" s="3" t="s">
        <v>18</v>
      </c>
      <c r="D117" s="4">
        <v>2.44</v>
      </c>
      <c r="E117" s="4">
        <v>2.73</v>
      </c>
      <c r="F117" s="4">
        <v>2.73</v>
      </c>
      <c r="G117" s="4">
        <v>2.73</v>
      </c>
      <c r="H117" s="5">
        <v>1.55</v>
      </c>
      <c r="I117" s="4">
        <v>5.38</v>
      </c>
      <c r="J117" s="4">
        <v>2.78</v>
      </c>
      <c r="K117" s="4">
        <f t="shared" ref="K117:K165" si="9">E117</f>
        <v>2.73</v>
      </c>
      <c r="L117" s="4">
        <v>2.78</v>
      </c>
      <c r="M117" s="4">
        <f t="shared" ref="M117:M165" si="10">E117*1.05</f>
        <v>2.8665000000000003</v>
      </c>
      <c r="N117" s="4">
        <f>E117*1.05</f>
        <v>2.8665000000000003</v>
      </c>
      <c r="O117" s="6">
        <v>3.72</v>
      </c>
      <c r="P117" s="4">
        <f t="shared" ref="P117:P180" si="11">E117*0.75</f>
        <v>2.0474999999999999</v>
      </c>
    </row>
    <row r="118" spans="1:16" x14ac:dyDescent="0.2">
      <c r="A118" s="2" t="s">
        <v>264</v>
      </c>
      <c r="B118" s="2" t="s">
        <v>265</v>
      </c>
      <c r="C118" s="3" t="s">
        <v>24</v>
      </c>
      <c r="D118" s="4">
        <v>49.39</v>
      </c>
      <c r="E118" s="4">
        <v>51.52</v>
      </c>
      <c r="F118" s="4">
        <v>51.52</v>
      </c>
      <c r="G118" s="4">
        <v>51.52</v>
      </c>
      <c r="H118" s="5">
        <v>50.63</v>
      </c>
      <c r="I118" s="4">
        <v>57.39</v>
      </c>
      <c r="J118" s="4">
        <v>51.55</v>
      </c>
      <c r="K118" s="4">
        <f t="shared" si="9"/>
        <v>51.52</v>
      </c>
      <c r="L118" s="4">
        <v>51.55</v>
      </c>
      <c r="M118" s="4">
        <f t="shared" si="10"/>
        <v>54.096000000000004</v>
      </c>
      <c r="N118" s="4">
        <f t="shared" ref="N118:N165" si="12">E118*1.05</f>
        <v>54.096000000000004</v>
      </c>
      <c r="O118" s="6">
        <v>51.56</v>
      </c>
      <c r="P118" s="4">
        <f t="shared" si="11"/>
        <v>38.64</v>
      </c>
    </row>
    <row r="119" spans="1:16" x14ac:dyDescent="0.2">
      <c r="A119" s="2" t="s">
        <v>266</v>
      </c>
      <c r="B119" s="2" t="s">
        <v>267</v>
      </c>
      <c r="C119" s="3" t="s">
        <v>24</v>
      </c>
      <c r="D119" s="4">
        <v>6.23</v>
      </c>
      <c r="E119" s="4">
        <v>6.4450000000000003</v>
      </c>
      <c r="F119" s="4">
        <v>6.45</v>
      </c>
      <c r="G119" s="4">
        <v>6.45</v>
      </c>
      <c r="H119" s="5">
        <v>5.18</v>
      </c>
      <c r="I119" s="4">
        <v>8.23</v>
      </c>
      <c r="J119" s="4">
        <v>7.39</v>
      </c>
      <c r="K119" s="4">
        <f t="shared" si="9"/>
        <v>6.4450000000000003</v>
      </c>
      <c r="L119" s="4">
        <v>7.39</v>
      </c>
      <c r="M119" s="4">
        <f t="shared" si="10"/>
        <v>6.7672500000000007</v>
      </c>
      <c r="N119" s="4">
        <f t="shared" si="12"/>
        <v>6.7672500000000007</v>
      </c>
      <c r="O119" s="6">
        <v>5.86</v>
      </c>
      <c r="P119" s="4">
        <f t="shared" si="11"/>
        <v>4.8337500000000002</v>
      </c>
    </row>
    <row r="120" spans="1:16" x14ac:dyDescent="0.2">
      <c r="A120" s="15" t="s">
        <v>268</v>
      </c>
      <c r="B120" s="15" t="s">
        <v>269</v>
      </c>
      <c r="C120" s="16" t="s">
        <v>18</v>
      </c>
      <c r="D120" s="17">
        <v>92.22</v>
      </c>
      <c r="E120" s="18">
        <v>94</v>
      </c>
      <c r="F120" s="18">
        <v>94</v>
      </c>
      <c r="G120" s="18">
        <v>94</v>
      </c>
      <c r="H120" s="5">
        <v>94.24</v>
      </c>
      <c r="I120" s="18">
        <v>104.54</v>
      </c>
      <c r="J120" s="18">
        <v>93.91</v>
      </c>
      <c r="K120" s="4">
        <f t="shared" si="9"/>
        <v>94</v>
      </c>
      <c r="L120" s="18">
        <v>93.91</v>
      </c>
      <c r="M120" s="4">
        <f t="shared" si="10"/>
        <v>98.7</v>
      </c>
      <c r="N120" s="4">
        <f t="shared" si="12"/>
        <v>98.7</v>
      </c>
      <c r="O120" s="18">
        <v>91.02</v>
      </c>
      <c r="P120" s="4">
        <f t="shared" si="11"/>
        <v>70.5</v>
      </c>
    </row>
    <row r="121" spans="1:16" x14ac:dyDescent="0.2">
      <c r="A121" s="15" t="s">
        <v>270</v>
      </c>
      <c r="B121" s="15" t="s">
        <v>271</v>
      </c>
      <c r="C121" s="16" t="s">
        <v>18</v>
      </c>
      <c r="D121" s="17">
        <v>106.22</v>
      </c>
      <c r="E121" s="18">
        <v>105.545</v>
      </c>
      <c r="F121" s="18">
        <v>105.55</v>
      </c>
      <c r="G121" s="18">
        <v>105.55</v>
      </c>
      <c r="H121" s="5">
        <v>104.22</v>
      </c>
      <c r="I121" s="18">
        <v>116.88</v>
      </c>
      <c r="J121" s="18">
        <v>104.99</v>
      </c>
      <c r="K121" s="4">
        <f t="shared" si="9"/>
        <v>105.545</v>
      </c>
      <c r="L121" s="18">
        <v>104.99</v>
      </c>
      <c r="M121" s="4">
        <f t="shared" si="10"/>
        <v>110.82225000000001</v>
      </c>
      <c r="N121" s="4">
        <f t="shared" si="12"/>
        <v>110.82225000000001</v>
      </c>
      <c r="O121" s="18">
        <v>100.3</v>
      </c>
      <c r="P121" s="4">
        <f t="shared" si="11"/>
        <v>79.158749999999998</v>
      </c>
    </row>
    <row r="122" spans="1:16" x14ac:dyDescent="0.2">
      <c r="A122" s="2" t="s">
        <v>272</v>
      </c>
      <c r="B122" s="2" t="s">
        <v>273</v>
      </c>
      <c r="C122" s="3" t="s">
        <v>225</v>
      </c>
      <c r="D122" s="4">
        <v>31.35</v>
      </c>
      <c r="E122" s="4">
        <v>31.95</v>
      </c>
      <c r="F122" s="4">
        <v>31.95</v>
      </c>
      <c r="G122" s="4">
        <v>31.95</v>
      </c>
      <c r="H122" s="5">
        <v>31.06</v>
      </c>
      <c r="I122" s="4">
        <v>35.729999999999997</v>
      </c>
      <c r="J122" s="4">
        <v>32.1</v>
      </c>
      <c r="K122" s="4">
        <f t="shared" si="9"/>
        <v>31.95</v>
      </c>
      <c r="L122" s="4">
        <v>32.1</v>
      </c>
      <c r="M122" s="4">
        <f t="shared" si="10"/>
        <v>33.547499999999999</v>
      </c>
      <c r="N122" s="4">
        <f t="shared" si="12"/>
        <v>33.547499999999999</v>
      </c>
      <c r="O122" s="6">
        <v>31.64</v>
      </c>
      <c r="P122" s="4">
        <f t="shared" si="11"/>
        <v>23.962499999999999</v>
      </c>
    </row>
    <row r="123" spans="1:16" x14ac:dyDescent="0.2">
      <c r="A123" s="2" t="s">
        <v>274</v>
      </c>
      <c r="B123" s="2" t="s">
        <v>275</v>
      </c>
      <c r="C123" s="3" t="s">
        <v>24</v>
      </c>
      <c r="D123" s="4">
        <v>0.2</v>
      </c>
      <c r="E123" s="4">
        <v>0.41</v>
      </c>
      <c r="F123" s="4">
        <v>0.41</v>
      </c>
      <c r="G123" s="4">
        <v>0.41</v>
      </c>
      <c r="H123" s="5">
        <v>0.4</v>
      </c>
      <c r="I123" s="4">
        <v>0.51</v>
      </c>
      <c r="J123" s="4">
        <v>0.46</v>
      </c>
      <c r="K123" s="4">
        <f t="shared" si="9"/>
        <v>0.41</v>
      </c>
      <c r="L123" s="4">
        <v>0.46</v>
      </c>
      <c r="M123" s="4">
        <f t="shared" si="10"/>
        <v>0.43049999999999999</v>
      </c>
      <c r="N123" s="4">
        <f t="shared" si="12"/>
        <v>0.43049999999999999</v>
      </c>
      <c r="O123" s="6">
        <v>0.44</v>
      </c>
      <c r="P123" s="4">
        <f t="shared" si="11"/>
        <v>0.3075</v>
      </c>
    </row>
    <row r="124" spans="1:16" x14ac:dyDescent="0.2">
      <c r="A124" s="2" t="s">
        <v>276</v>
      </c>
      <c r="B124" s="2" t="s">
        <v>277</v>
      </c>
      <c r="C124" s="3" t="s">
        <v>24</v>
      </c>
      <c r="D124" s="4">
        <v>1498.65</v>
      </c>
      <c r="E124" s="4">
        <v>1567.72</v>
      </c>
      <c r="F124" s="4">
        <v>1567.72</v>
      </c>
      <c r="G124" s="4">
        <v>1567.72</v>
      </c>
      <c r="H124" s="5">
        <v>1552.88</v>
      </c>
      <c r="I124" s="4">
        <v>1743.94</v>
      </c>
      <c r="J124" s="4">
        <v>1566.59</v>
      </c>
      <c r="K124" s="4">
        <f t="shared" si="9"/>
        <v>1567.72</v>
      </c>
      <c r="L124" s="4">
        <v>1566.59</v>
      </c>
      <c r="M124" s="4">
        <f t="shared" si="10"/>
        <v>1646.106</v>
      </c>
      <c r="N124" s="4">
        <f t="shared" si="12"/>
        <v>1646.106</v>
      </c>
      <c r="O124" s="6">
        <v>1567.49</v>
      </c>
      <c r="P124" s="4">
        <f t="shared" si="11"/>
        <v>1175.79</v>
      </c>
    </row>
    <row r="125" spans="1:16" x14ac:dyDescent="0.2">
      <c r="A125" s="2" t="s">
        <v>278</v>
      </c>
      <c r="B125" s="2" t="s">
        <v>279</v>
      </c>
      <c r="C125" s="3" t="s">
        <v>24</v>
      </c>
      <c r="D125" s="4">
        <v>12.5</v>
      </c>
      <c r="E125" s="4">
        <v>10.94</v>
      </c>
      <c r="F125" s="4">
        <v>10.94</v>
      </c>
      <c r="G125" s="4">
        <v>10.94</v>
      </c>
      <c r="H125" s="5">
        <v>41.41</v>
      </c>
      <c r="I125" s="4">
        <v>16</v>
      </c>
      <c r="J125" s="4">
        <v>14.37</v>
      </c>
      <c r="K125" s="4">
        <f t="shared" si="9"/>
        <v>10.94</v>
      </c>
      <c r="L125" s="4">
        <v>14.37</v>
      </c>
      <c r="M125" s="4">
        <f t="shared" si="10"/>
        <v>11.487</v>
      </c>
      <c r="N125" s="4">
        <f t="shared" si="12"/>
        <v>11.487</v>
      </c>
      <c r="O125" s="6">
        <v>8.4600000000000009</v>
      </c>
      <c r="P125" s="4">
        <f t="shared" si="11"/>
        <v>8.2050000000000001</v>
      </c>
    </row>
    <row r="126" spans="1:16" x14ac:dyDescent="0.2">
      <c r="A126" s="2" t="s">
        <v>280</v>
      </c>
      <c r="B126" s="2" t="s">
        <v>281</v>
      </c>
      <c r="C126" s="3" t="s">
        <v>63</v>
      </c>
      <c r="D126" s="4">
        <v>89.5</v>
      </c>
      <c r="E126" s="4">
        <v>94.6</v>
      </c>
      <c r="F126" s="4">
        <v>94.6</v>
      </c>
      <c r="G126" s="4">
        <v>94.6</v>
      </c>
      <c r="H126" s="5">
        <v>94.49</v>
      </c>
      <c r="I126" s="4">
        <v>105.45</v>
      </c>
      <c r="J126" s="4">
        <v>94.73</v>
      </c>
      <c r="K126" s="4">
        <f t="shared" si="9"/>
        <v>94.6</v>
      </c>
      <c r="L126" s="4">
        <v>94.73</v>
      </c>
      <c r="M126" s="4">
        <f t="shared" si="10"/>
        <v>99.33</v>
      </c>
      <c r="N126" s="4">
        <f t="shared" si="12"/>
        <v>99.33</v>
      </c>
      <c r="O126" s="6">
        <v>94.12</v>
      </c>
      <c r="P126" s="4">
        <f t="shared" si="11"/>
        <v>70.949999999999989</v>
      </c>
    </row>
    <row r="127" spans="1:16" x14ac:dyDescent="0.2">
      <c r="A127" s="2" t="s">
        <v>282</v>
      </c>
      <c r="B127" s="2" t="s">
        <v>283</v>
      </c>
      <c r="C127" s="16" t="s">
        <v>18</v>
      </c>
      <c r="D127" s="6">
        <v>52.39</v>
      </c>
      <c r="E127" s="10">
        <v>53.11</v>
      </c>
      <c r="F127" s="10">
        <v>53.11</v>
      </c>
      <c r="G127" s="10">
        <v>53.11</v>
      </c>
      <c r="H127" s="5">
        <v>51.87</v>
      </c>
      <c r="I127" s="10">
        <v>59.12</v>
      </c>
      <c r="J127" s="10">
        <v>53.11</v>
      </c>
      <c r="K127" s="4">
        <f t="shared" si="9"/>
        <v>53.11</v>
      </c>
      <c r="L127" s="10">
        <v>53.11</v>
      </c>
      <c r="M127" s="4">
        <f t="shared" si="10"/>
        <v>55.765500000000003</v>
      </c>
      <c r="N127" s="4">
        <f t="shared" si="12"/>
        <v>55.765500000000003</v>
      </c>
      <c r="O127" s="10">
        <v>52.04</v>
      </c>
      <c r="P127" s="4">
        <f t="shared" si="11"/>
        <v>39.832499999999996</v>
      </c>
    </row>
    <row r="128" spans="1:16" x14ac:dyDescent="0.2">
      <c r="A128" s="2" t="s">
        <v>284</v>
      </c>
      <c r="B128" s="2" t="s">
        <v>285</v>
      </c>
      <c r="C128" s="3" t="s">
        <v>24</v>
      </c>
      <c r="D128" s="4">
        <v>13.52</v>
      </c>
      <c r="E128" s="4">
        <v>2.16</v>
      </c>
      <c r="F128" s="4">
        <v>2.16</v>
      </c>
      <c r="G128" s="4">
        <v>2.16</v>
      </c>
      <c r="H128" s="5">
        <v>11.06</v>
      </c>
      <c r="I128" s="4">
        <v>2.2799999999999998</v>
      </c>
      <c r="J128" s="4">
        <v>2.0499999999999998</v>
      </c>
      <c r="K128" s="4">
        <f t="shared" si="9"/>
        <v>2.16</v>
      </c>
      <c r="L128" s="4">
        <v>2.0499999999999998</v>
      </c>
      <c r="M128" s="4">
        <f t="shared" si="10"/>
        <v>2.2680000000000002</v>
      </c>
      <c r="N128" s="4">
        <f t="shared" si="12"/>
        <v>2.2680000000000002</v>
      </c>
      <c r="O128" s="6">
        <v>1.85</v>
      </c>
      <c r="P128" s="4">
        <f t="shared" si="11"/>
        <v>1.62</v>
      </c>
    </row>
    <row r="129" spans="1:16" x14ac:dyDescent="0.2">
      <c r="A129" s="2" t="s">
        <v>284</v>
      </c>
      <c r="B129" s="2" t="s">
        <v>286</v>
      </c>
      <c r="C129" s="3" t="s">
        <v>24</v>
      </c>
      <c r="D129" s="4">
        <v>1.19</v>
      </c>
      <c r="E129" s="4">
        <v>2.16</v>
      </c>
      <c r="F129" s="4">
        <v>2.16</v>
      </c>
      <c r="G129" s="4">
        <v>2.16</v>
      </c>
      <c r="H129" s="5">
        <v>11.06</v>
      </c>
      <c r="I129" s="4">
        <v>2.2799999999999998</v>
      </c>
      <c r="J129" s="4">
        <v>2.0499999999999998</v>
      </c>
      <c r="K129" s="4">
        <f t="shared" si="9"/>
        <v>2.16</v>
      </c>
      <c r="L129" s="4">
        <v>2.0499999999999998</v>
      </c>
      <c r="M129" s="4">
        <f t="shared" si="10"/>
        <v>2.2680000000000002</v>
      </c>
      <c r="N129" s="4">
        <f t="shared" si="12"/>
        <v>2.2680000000000002</v>
      </c>
      <c r="O129" s="6">
        <v>1.85</v>
      </c>
      <c r="P129" s="4">
        <f t="shared" si="11"/>
        <v>1.62</v>
      </c>
    </row>
    <row r="130" spans="1:16" x14ac:dyDescent="0.2">
      <c r="A130" s="15" t="s">
        <v>287</v>
      </c>
      <c r="B130" s="15" t="s">
        <v>288</v>
      </c>
      <c r="C130" s="16" t="s">
        <v>24</v>
      </c>
      <c r="D130" s="17">
        <v>15.75</v>
      </c>
      <c r="E130" s="18">
        <v>12.9</v>
      </c>
      <c r="F130" s="18">
        <v>12.9</v>
      </c>
      <c r="G130" s="18">
        <v>12.9</v>
      </c>
      <c r="H130" s="5">
        <v>25.61</v>
      </c>
      <c r="I130" s="18">
        <v>14.28</v>
      </c>
      <c r="J130" s="18">
        <v>12.83</v>
      </c>
      <c r="K130" s="4">
        <f t="shared" si="9"/>
        <v>12.9</v>
      </c>
      <c r="L130" s="18">
        <v>12.83</v>
      </c>
      <c r="M130" s="4">
        <f t="shared" si="10"/>
        <v>13.545000000000002</v>
      </c>
      <c r="N130" s="4">
        <f t="shared" si="12"/>
        <v>13.545000000000002</v>
      </c>
      <c r="O130" s="18">
        <v>13.12</v>
      </c>
      <c r="P130" s="4">
        <f t="shared" si="11"/>
        <v>9.6750000000000007</v>
      </c>
    </row>
    <row r="131" spans="1:16" x14ac:dyDescent="0.2">
      <c r="A131" s="2" t="s">
        <v>289</v>
      </c>
      <c r="B131" s="2" t="s">
        <v>290</v>
      </c>
      <c r="C131" s="3" t="s">
        <v>18</v>
      </c>
      <c r="D131" s="4">
        <v>71.2</v>
      </c>
      <c r="E131" s="4">
        <v>74.355000000000004</v>
      </c>
      <c r="F131" s="4">
        <v>74.36</v>
      </c>
      <c r="G131" s="4">
        <v>74.36</v>
      </c>
      <c r="H131" s="5">
        <v>84.39</v>
      </c>
      <c r="I131" s="4">
        <v>81.97</v>
      </c>
      <c r="J131" s="4">
        <v>73.63</v>
      </c>
      <c r="K131" s="4">
        <f t="shared" si="9"/>
        <v>74.355000000000004</v>
      </c>
      <c r="L131" s="4">
        <v>73.63</v>
      </c>
      <c r="M131" s="4">
        <f t="shared" si="10"/>
        <v>78.072750000000013</v>
      </c>
      <c r="N131" s="4">
        <f t="shared" si="12"/>
        <v>78.072750000000013</v>
      </c>
      <c r="O131" s="6">
        <v>73.05</v>
      </c>
      <c r="P131" s="4">
        <f t="shared" si="11"/>
        <v>55.766249999999999</v>
      </c>
    </row>
    <row r="132" spans="1:16" x14ac:dyDescent="0.2">
      <c r="A132" s="2" t="s">
        <v>291</v>
      </c>
      <c r="B132" s="2" t="s">
        <v>292</v>
      </c>
      <c r="C132" s="3" t="s">
        <v>24</v>
      </c>
      <c r="D132" s="4">
        <v>13.15</v>
      </c>
      <c r="E132" s="4">
        <v>13.94</v>
      </c>
      <c r="F132" s="4">
        <v>13.94</v>
      </c>
      <c r="G132" s="4">
        <v>13.94</v>
      </c>
      <c r="H132" s="5">
        <v>24.7</v>
      </c>
      <c r="I132" s="4">
        <v>15.2</v>
      </c>
      <c r="J132" s="4">
        <v>13.65</v>
      </c>
      <c r="K132" s="4">
        <f t="shared" si="9"/>
        <v>13.94</v>
      </c>
      <c r="L132" s="4">
        <v>13.65</v>
      </c>
      <c r="M132" s="4">
        <f t="shared" si="10"/>
        <v>14.637</v>
      </c>
      <c r="N132" s="4">
        <f t="shared" si="12"/>
        <v>14.637</v>
      </c>
      <c r="O132" s="6">
        <v>11.99</v>
      </c>
      <c r="P132" s="4">
        <f t="shared" si="11"/>
        <v>10.455</v>
      </c>
    </row>
    <row r="133" spans="1:16" x14ac:dyDescent="0.2">
      <c r="A133" s="2" t="s">
        <v>291</v>
      </c>
      <c r="B133" s="2" t="s">
        <v>293</v>
      </c>
      <c r="C133" s="3" t="s">
        <v>24</v>
      </c>
      <c r="D133" s="4">
        <v>7.99</v>
      </c>
      <c r="E133" s="4">
        <v>13.94</v>
      </c>
      <c r="F133" s="4">
        <v>13.94</v>
      </c>
      <c r="G133" s="4">
        <v>13.94</v>
      </c>
      <c r="H133" s="5">
        <v>24.7</v>
      </c>
      <c r="I133" s="4">
        <v>15.2</v>
      </c>
      <c r="J133" s="4">
        <v>13.65</v>
      </c>
      <c r="K133" s="4">
        <f t="shared" si="9"/>
        <v>13.94</v>
      </c>
      <c r="L133" s="4">
        <v>13.65</v>
      </c>
      <c r="M133" s="4">
        <f t="shared" si="10"/>
        <v>14.637</v>
      </c>
      <c r="N133" s="4">
        <f t="shared" si="12"/>
        <v>14.637</v>
      </c>
      <c r="O133" s="6">
        <v>11.99</v>
      </c>
      <c r="P133" s="4">
        <f t="shared" si="11"/>
        <v>10.455</v>
      </c>
    </row>
    <row r="134" spans="1:16" x14ac:dyDescent="0.2">
      <c r="A134" s="2" t="s">
        <v>294</v>
      </c>
      <c r="B134" s="2" t="s">
        <v>295</v>
      </c>
      <c r="C134" s="3" t="s">
        <v>63</v>
      </c>
      <c r="D134" s="4">
        <v>161.33000000000001</v>
      </c>
      <c r="E134" s="4">
        <v>163.96</v>
      </c>
      <c r="F134" s="4">
        <v>163.96</v>
      </c>
      <c r="G134" s="4">
        <v>163.96</v>
      </c>
      <c r="H134" s="5">
        <v>160.03</v>
      </c>
      <c r="I134" s="4">
        <v>182.21</v>
      </c>
      <c r="J134" s="4">
        <v>163.68</v>
      </c>
      <c r="K134" s="4">
        <f t="shared" si="9"/>
        <v>163.96</v>
      </c>
      <c r="L134" s="4">
        <v>163.68</v>
      </c>
      <c r="M134" s="4">
        <f t="shared" si="10"/>
        <v>172.15800000000002</v>
      </c>
      <c r="N134" s="4">
        <f t="shared" si="12"/>
        <v>172.15800000000002</v>
      </c>
      <c r="O134" s="6">
        <v>163.21</v>
      </c>
      <c r="P134" s="4">
        <f t="shared" si="11"/>
        <v>122.97</v>
      </c>
    </row>
    <row r="135" spans="1:16" x14ac:dyDescent="0.2">
      <c r="A135" s="2" t="s">
        <v>296</v>
      </c>
      <c r="B135" s="2" t="s">
        <v>297</v>
      </c>
      <c r="C135" s="3" t="s">
        <v>298</v>
      </c>
      <c r="D135" s="4">
        <v>24.78</v>
      </c>
      <c r="E135" s="4">
        <v>16.600000000000001</v>
      </c>
      <c r="F135" s="4">
        <v>16.600000000000001</v>
      </c>
      <c r="G135" s="4">
        <v>16.600000000000001</v>
      </c>
      <c r="H135" s="5">
        <v>30.02</v>
      </c>
      <c r="I135" s="4">
        <v>80.2</v>
      </c>
      <c r="J135" s="4">
        <v>23.02</v>
      </c>
      <c r="K135" s="4">
        <f t="shared" si="9"/>
        <v>16.600000000000001</v>
      </c>
      <c r="L135" s="4">
        <v>23.02</v>
      </c>
      <c r="M135" s="4">
        <f t="shared" si="10"/>
        <v>17.430000000000003</v>
      </c>
      <c r="N135" s="4">
        <f t="shared" si="12"/>
        <v>17.430000000000003</v>
      </c>
      <c r="O135" s="6">
        <v>20.9</v>
      </c>
      <c r="P135" s="4">
        <f t="shared" si="11"/>
        <v>12.450000000000001</v>
      </c>
    </row>
    <row r="136" spans="1:16" x14ac:dyDescent="0.2">
      <c r="A136" s="2" t="s">
        <v>299</v>
      </c>
      <c r="B136" s="2" t="s">
        <v>300</v>
      </c>
      <c r="C136" s="3" t="s">
        <v>21</v>
      </c>
      <c r="D136" s="4">
        <v>1.54</v>
      </c>
      <c r="E136" s="4">
        <v>2.25</v>
      </c>
      <c r="F136" s="4">
        <v>2.25</v>
      </c>
      <c r="G136" s="4">
        <v>2.25</v>
      </c>
      <c r="H136" s="5">
        <v>1.04</v>
      </c>
      <c r="I136" s="4">
        <v>2.98</v>
      </c>
      <c r="J136" s="4">
        <v>2.68</v>
      </c>
      <c r="K136" s="4">
        <f t="shared" si="9"/>
        <v>2.25</v>
      </c>
      <c r="L136" s="4">
        <v>2.68</v>
      </c>
      <c r="M136" s="4">
        <f t="shared" si="10"/>
        <v>2.3625000000000003</v>
      </c>
      <c r="N136" s="4">
        <f t="shared" si="12"/>
        <v>2.3625000000000003</v>
      </c>
      <c r="O136" s="6">
        <v>1.59</v>
      </c>
      <c r="P136" s="4">
        <f t="shared" si="11"/>
        <v>1.6875</v>
      </c>
    </row>
    <row r="137" spans="1:16" x14ac:dyDescent="0.2">
      <c r="A137" s="2" t="s">
        <v>301</v>
      </c>
      <c r="B137" s="2" t="s">
        <v>302</v>
      </c>
      <c r="C137" s="3" t="s">
        <v>24</v>
      </c>
      <c r="D137" s="4">
        <v>261.82</v>
      </c>
      <c r="E137" s="4">
        <v>268.73</v>
      </c>
      <c r="F137" s="4">
        <v>268.73</v>
      </c>
      <c r="G137" s="4">
        <v>268.73</v>
      </c>
      <c r="H137" s="5">
        <v>241.56</v>
      </c>
      <c r="I137" s="4">
        <v>298.83999999999997</v>
      </c>
      <c r="J137" s="4">
        <v>268.45</v>
      </c>
      <c r="K137" s="4">
        <f t="shared" si="9"/>
        <v>268.73</v>
      </c>
      <c r="L137" s="4">
        <v>268.45</v>
      </c>
      <c r="M137" s="4">
        <f t="shared" si="10"/>
        <v>282.16650000000004</v>
      </c>
      <c r="N137" s="4">
        <f t="shared" si="12"/>
        <v>282.16650000000004</v>
      </c>
      <c r="O137" s="6">
        <v>258.52</v>
      </c>
      <c r="P137" s="4">
        <f t="shared" si="11"/>
        <v>201.54750000000001</v>
      </c>
    </row>
    <row r="138" spans="1:16" x14ac:dyDescent="0.2">
      <c r="A138" s="2" t="s">
        <v>303</v>
      </c>
      <c r="B138" s="2" t="s">
        <v>304</v>
      </c>
      <c r="C138" s="3" t="s">
        <v>24</v>
      </c>
      <c r="D138" s="4">
        <v>221.93</v>
      </c>
      <c r="E138" s="4">
        <v>231.05</v>
      </c>
      <c r="F138" s="4">
        <v>231.05</v>
      </c>
      <c r="G138" s="4">
        <v>231.05</v>
      </c>
      <c r="H138" s="5">
        <v>237.64</v>
      </c>
      <c r="I138" s="4">
        <v>256.93</v>
      </c>
      <c r="J138" s="4">
        <v>230.8</v>
      </c>
      <c r="K138" s="4">
        <f t="shared" si="9"/>
        <v>231.05</v>
      </c>
      <c r="L138" s="4">
        <v>230.8</v>
      </c>
      <c r="M138" s="4">
        <f t="shared" si="10"/>
        <v>242.60250000000002</v>
      </c>
      <c r="N138" s="4">
        <f t="shared" si="12"/>
        <v>242.60250000000002</v>
      </c>
      <c r="O138" s="6">
        <v>227.1</v>
      </c>
      <c r="P138" s="4">
        <f t="shared" si="11"/>
        <v>173.28750000000002</v>
      </c>
    </row>
    <row r="139" spans="1:16" x14ac:dyDescent="0.2">
      <c r="A139" s="2" t="s">
        <v>305</v>
      </c>
      <c r="B139" s="2" t="s">
        <v>306</v>
      </c>
      <c r="C139" s="3" t="s">
        <v>48</v>
      </c>
      <c r="D139" s="4">
        <v>3.38</v>
      </c>
      <c r="E139" s="4">
        <v>2.94</v>
      </c>
      <c r="F139" s="4">
        <v>2.94</v>
      </c>
      <c r="G139" s="4">
        <v>2.94</v>
      </c>
      <c r="H139" s="5">
        <v>2.84</v>
      </c>
      <c r="I139" s="4">
        <v>36.89</v>
      </c>
      <c r="J139" s="4">
        <v>2.93</v>
      </c>
      <c r="K139" s="4">
        <f t="shared" si="9"/>
        <v>2.94</v>
      </c>
      <c r="L139" s="4">
        <v>2.93</v>
      </c>
      <c r="M139" s="4">
        <f t="shared" si="10"/>
        <v>3.0870000000000002</v>
      </c>
      <c r="N139" s="4">
        <f t="shared" si="12"/>
        <v>3.0870000000000002</v>
      </c>
      <c r="O139" s="6">
        <v>3.63</v>
      </c>
      <c r="P139" s="4">
        <f t="shared" si="11"/>
        <v>2.2050000000000001</v>
      </c>
    </row>
    <row r="140" spans="1:16" x14ac:dyDescent="0.2">
      <c r="A140" s="2" t="s">
        <v>307</v>
      </c>
      <c r="B140" s="2" t="s">
        <v>308</v>
      </c>
      <c r="C140" s="3" t="s">
        <v>24</v>
      </c>
      <c r="D140" s="4">
        <v>55.06</v>
      </c>
      <c r="E140" s="4">
        <v>56.24</v>
      </c>
      <c r="F140" s="4">
        <v>56.24</v>
      </c>
      <c r="G140" s="4">
        <v>56.24</v>
      </c>
      <c r="H140" s="5">
        <v>61.03</v>
      </c>
      <c r="I140" s="4">
        <v>61.91</v>
      </c>
      <c r="J140" s="4">
        <v>55.61</v>
      </c>
      <c r="K140" s="4">
        <f t="shared" si="9"/>
        <v>56.24</v>
      </c>
      <c r="L140" s="4">
        <v>55.61</v>
      </c>
      <c r="M140" s="4">
        <f t="shared" si="10"/>
        <v>59.052000000000007</v>
      </c>
      <c r="N140" s="4">
        <f t="shared" si="12"/>
        <v>59.052000000000007</v>
      </c>
      <c r="O140" s="6">
        <v>55.09</v>
      </c>
      <c r="P140" s="4">
        <f t="shared" si="11"/>
        <v>42.18</v>
      </c>
    </row>
    <row r="141" spans="1:16" x14ac:dyDescent="0.2">
      <c r="A141" s="2" t="s">
        <v>309</v>
      </c>
      <c r="B141" s="2" t="s">
        <v>310</v>
      </c>
      <c r="C141" s="3" t="s">
        <v>21</v>
      </c>
      <c r="D141" s="4" t="s">
        <v>311</v>
      </c>
      <c r="E141" s="4">
        <v>1.26</v>
      </c>
      <c r="F141" s="4">
        <v>1.26</v>
      </c>
      <c r="G141" s="4">
        <v>1.26</v>
      </c>
      <c r="H141" s="5">
        <v>8.11</v>
      </c>
      <c r="I141" s="4">
        <v>1.61</v>
      </c>
      <c r="J141" s="4">
        <v>1.45</v>
      </c>
      <c r="K141" s="4">
        <f t="shared" si="9"/>
        <v>1.26</v>
      </c>
      <c r="L141" s="4">
        <v>1.45</v>
      </c>
      <c r="M141" s="4">
        <f t="shared" si="10"/>
        <v>1.3230000000000002</v>
      </c>
      <c r="N141" s="4">
        <f t="shared" si="12"/>
        <v>1.3230000000000002</v>
      </c>
      <c r="O141" s="6">
        <v>1.55</v>
      </c>
      <c r="P141" s="4">
        <f t="shared" si="11"/>
        <v>0.94500000000000006</v>
      </c>
    </row>
    <row r="142" spans="1:16" x14ac:dyDescent="0.2">
      <c r="A142" s="2" t="s">
        <v>312</v>
      </c>
      <c r="B142" s="2" t="s">
        <v>313</v>
      </c>
      <c r="C142" s="3" t="s">
        <v>21</v>
      </c>
      <c r="D142" s="4">
        <v>23.46</v>
      </c>
      <c r="E142" s="4">
        <v>25.41</v>
      </c>
      <c r="F142" s="4">
        <v>25.41</v>
      </c>
      <c r="G142" s="4">
        <v>25.41</v>
      </c>
      <c r="H142" s="5">
        <v>26.92</v>
      </c>
      <c r="I142" s="4">
        <v>28.53</v>
      </c>
      <c r="J142" s="4">
        <v>25.63</v>
      </c>
      <c r="K142" s="4">
        <f t="shared" si="9"/>
        <v>25.41</v>
      </c>
      <c r="L142" s="4">
        <v>25.63</v>
      </c>
      <c r="M142" s="4">
        <f t="shared" si="10"/>
        <v>26.680500000000002</v>
      </c>
      <c r="N142" s="4">
        <f t="shared" si="12"/>
        <v>26.680500000000002</v>
      </c>
      <c r="O142" s="6">
        <v>30.6</v>
      </c>
      <c r="P142" s="4">
        <f t="shared" si="11"/>
        <v>19.057500000000001</v>
      </c>
    </row>
    <row r="143" spans="1:16" x14ac:dyDescent="0.2">
      <c r="A143" s="2" t="s">
        <v>314</v>
      </c>
      <c r="B143" s="2" t="s">
        <v>315</v>
      </c>
      <c r="C143" s="3" t="s">
        <v>18</v>
      </c>
      <c r="D143" s="4">
        <v>73.709999999999994</v>
      </c>
      <c r="E143" s="4">
        <v>80.459999999999994</v>
      </c>
      <c r="F143" s="4">
        <v>80.459999999999994</v>
      </c>
      <c r="G143" s="4">
        <v>80.459999999999994</v>
      </c>
      <c r="H143" s="5">
        <v>80.64</v>
      </c>
      <c r="I143" s="4">
        <v>89.44</v>
      </c>
      <c r="J143" s="4">
        <v>80.34</v>
      </c>
      <c r="K143" s="4">
        <f t="shared" si="9"/>
        <v>80.459999999999994</v>
      </c>
      <c r="L143" s="4">
        <v>80.34</v>
      </c>
      <c r="M143" s="4">
        <f t="shared" si="10"/>
        <v>84.483000000000004</v>
      </c>
      <c r="N143" s="4">
        <f t="shared" si="12"/>
        <v>84.483000000000004</v>
      </c>
      <c r="O143" s="6">
        <v>78.47</v>
      </c>
      <c r="P143" s="4">
        <f t="shared" si="11"/>
        <v>60.344999999999999</v>
      </c>
    </row>
    <row r="144" spans="1:16" x14ac:dyDescent="0.2">
      <c r="A144" s="2" t="s">
        <v>316</v>
      </c>
      <c r="B144" s="2" t="s">
        <v>317</v>
      </c>
      <c r="C144" s="3" t="s">
        <v>24</v>
      </c>
      <c r="D144" s="4">
        <v>26.19</v>
      </c>
      <c r="E144" s="4">
        <v>31.74</v>
      </c>
      <c r="F144" s="4">
        <v>31.74</v>
      </c>
      <c r="G144" s="4">
        <v>31.74</v>
      </c>
      <c r="H144" s="5">
        <v>33.72</v>
      </c>
      <c r="I144" s="4">
        <v>35.61</v>
      </c>
      <c r="J144" s="4">
        <v>31.99</v>
      </c>
      <c r="K144" s="4">
        <f t="shared" si="9"/>
        <v>31.74</v>
      </c>
      <c r="L144" s="4">
        <v>31.99</v>
      </c>
      <c r="M144" s="4">
        <f t="shared" si="10"/>
        <v>33.326999999999998</v>
      </c>
      <c r="N144" s="4">
        <f t="shared" si="12"/>
        <v>33.326999999999998</v>
      </c>
      <c r="O144" s="6">
        <v>28.06</v>
      </c>
      <c r="P144" s="4">
        <f t="shared" si="11"/>
        <v>23.805</v>
      </c>
    </row>
    <row r="145" spans="1:16" x14ac:dyDescent="0.2">
      <c r="A145" s="2" t="s">
        <v>318</v>
      </c>
      <c r="B145" s="2" t="s">
        <v>319</v>
      </c>
      <c r="C145" s="3" t="s">
        <v>18</v>
      </c>
      <c r="D145" s="4">
        <v>2.0499999999999998</v>
      </c>
      <c r="E145" s="4">
        <v>2.17</v>
      </c>
      <c r="F145" s="4">
        <v>2.17</v>
      </c>
      <c r="G145" s="4">
        <v>2.17</v>
      </c>
      <c r="H145" s="5">
        <v>2.76</v>
      </c>
      <c r="I145" s="4">
        <v>11.59</v>
      </c>
      <c r="J145" s="4">
        <v>2.11</v>
      </c>
      <c r="K145" s="4">
        <f t="shared" si="9"/>
        <v>2.17</v>
      </c>
      <c r="L145" s="4">
        <v>2.11</v>
      </c>
      <c r="M145" s="4">
        <f t="shared" si="10"/>
        <v>2.2785000000000002</v>
      </c>
      <c r="N145" s="4">
        <f t="shared" si="12"/>
        <v>2.2785000000000002</v>
      </c>
      <c r="O145" s="6">
        <v>1.95</v>
      </c>
      <c r="P145" s="4">
        <f t="shared" si="11"/>
        <v>1.6274999999999999</v>
      </c>
    </row>
    <row r="146" spans="1:16" x14ac:dyDescent="0.2">
      <c r="A146" s="2" t="s">
        <v>320</v>
      </c>
      <c r="B146" s="2" t="s">
        <v>321</v>
      </c>
      <c r="C146" s="3" t="s">
        <v>91</v>
      </c>
      <c r="D146" s="4">
        <v>21.99</v>
      </c>
      <c r="E146" s="4">
        <v>22.63</v>
      </c>
      <c r="F146" s="4">
        <v>22.63</v>
      </c>
      <c r="G146" s="4">
        <v>22.63</v>
      </c>
      <c r="H146" s="5">
        <v>22.52</v>
      </c>
      <c r="I146" s="4">
        <v>25.11</v>
      </c>
      <c r="J146" s="4">
        <v>22.56</v>
      </c>
      <c r="K146" s="4">
        <f t="shared" si="9"/>
        <v>22.63</v>
      </c>
      <c r="L146" s="4">
        <v>22.55</v>
      </c>
      <c r="M146" s="4">
        <f t="shared" si="10"/>
        <v>23.761500000000002</v>
      </c>
      <c r="N146" s="4">
        <f t="shared" si="12"/>
        <v>23.761500000000002</v>
      </c>
      <c r="O146" s="6">
        <v>22.21</v>
      </c>
      <c r="P146" s="4">
        <f t="shared" si="11"/>
        <v>16.9725</v>
      </c>
    </row>
    <row r="147" spans="1:16" x14ac:dyDescent="0.2">
      <c r="A147" s="2" t="s">
        <v>322</v>
      </c>
      <c r="B147" s="2" t="s">
        <v>323</v>
      </c>
      <c r="C147" s="3" t="s">
        <v>24</v>
      </c>
      <c r="D147" s="4">
        <v>67.3</v>
      </c>
      <c r="E147" s="4">
        <v>71.13</v>
      </c>
      <c r="F147" s="4">
        <v>71.13</v>
      </c>
      <c r="G147" s="4">
        <v>71.13</v>
      </c>
      <c r="H147" s="5">
        <v>68.67</v>
      </c>
      <c r="I147" s="4">
        <v>79.23</v>
      </c>
      <c r="J147" s="4">
        <v>71.17</v>
      </c>
      <c r="K147" s="4">
        <f t="shared" si="9"/>
        <v>71.13</v>
      </c>
      <c r="L147" s="4">
        <v>71.17</v>
      </c>
      <c r="M147" s="4">
        <f t="shared" si="10"/>
        <v>74.686499999999995</v>
      </c>
      <c r="N147" s="4">
        <f t="shared" si="12"/>
        <v>74.686499999999995</v>
      </c>
      <c r="O147" s="6">
        <v>69.52</v>
      </c>
      <c r="P147" s="4">
        <f t="shared" si="11"/>
        <v>53.347499999999997</v>
      </c>
    </row>
    <row r="148" spans="1:16" x14ac:dyDescent="0.2">
      <c r="A148" s="2" t="s">
        <v>324</v>
      </c>
      <c r="B148" s="2" t="s">
        <v>325</v>
      </c>
      <c r="C148" s="3" t="s">
        <v>24</v>
      </c>
      <c r="D148" s="4">
        <v>10</v>
      </c>
      <c r="E148" s="4">
        <v>8.73</v>
      </c>
      <c r="F148" s="4">
        <v>8.73</v>
      </c>
      <c r="G148" s="4">
        <v>8.73</v>
      </c>
      <c r="H148" s="5">
        <v>36.229999999999997</v>
      </c>
      <c r="I148" s="4">
        <v>8.26</v>
      </c>
      <c r="J148" s="4">
        <v>7.42</v>
      </c>
      <c r="K148" s="4">
        <f t="shared" si="9"/>
        <v>8.73</v>
      </c>
      <c r="L148" s="4">
        <v>7.42</v>
      </c>
      <c r="M148" s="4">
        <f t="shared" si="10"/>
        <v>9.166500000000001</v>
      </c>
      <c r="N148" s="4">
        <f t="shared" si="12"/>
        <v>9.166500000000001</v>
      </c>
      <c r="O148" s="6">
        <v>9.73</v>
      </c>
      <c r="P148" s="4">
        <f t="shared" si="11"/>
        <v>6.5475000000000003</v>
      </c>
    </row>
    <row r="149" spans="1:16" x14ac:dyDescent="0.2">
      <c r="A149" s="11" t="s">
        <v>326</v>
      </c>
      <c r="B149" s="11" t="s">
        <v>327</v>
      </c>
      <c r="C149" s="3" t="s">
        <v>225</v>
      </c>
      <c r="D149" s="9" t="s">
        <v>35</v>
      </c>
      <c r="E149" s="4">
        <v>0.52</v>
      </c>
      <c r="F149" s="4">
        <v>0.52</v>
      </c>
      <c r="G149" s="4">
        <v>0.52</v>
      </c>
      <c r="H149" s="5">
        <v>1.29</v>
      </c>
      <c r="I149" s="4">
        <v>0.68</v>
      </c>
      <c r="J149" s="4">
        <v>0.61</v>
      </c>
      <c r="K149" s="4">
        <f t="shared" si="9"/>
        <v>0.52</v>
      </c>
      <c r="L149" s="4">
        <v>0.61</v>
      </c>
      <c r="M149" s="4">
        <f t="shared" si="10"/>
        <v>0.54600000000000004</v>
      </c>
      <c r="N149" s="4">
        <f t="shared" si="12"/>
        <v>0.54600000000000004</v>
      </c>
      <c r="O149" s="6">
        <v>0.78</v>
      </c>
      <c r="P149" s="4">
        <f t="shared" si="11"/>
        <v>0.39</v>
      </c>
    </row>
    <row r="150" spans="1:16" x14ac:dyDescent="0.2">
      <c r="A150" s="2" t="s">
        <v>328</v>
      </c>
      <c r="B150" s="2" t="s">
        <v>329</v>
      </c>
      <c r="C150" s="3" t="s">
        <v>225</v>
      </c>
      <c r="D150" s="4">
        <v>8.6300000000000008</v>
      </c>
      <c r="E150" s="4">
        <v>9.1</v>
      </c>
      <c r="F150" s="4">
        <v>9.1</v>
      </c>
      <c r="G150" s="4">
        <v>9.1</v>
      </c>
      <c r="H150" s="5">
        <v>3.85</v>
      </c>
      <c r="I150" s="4">
        <v>10.01</v>
      </c>
      <c r="J150" s="4">
        <v>8.99</v>
      </c>
      <c r="K150" s="4">
        <f t="shared" si="9"/>
        <v>9.1</v>
      </c>
      <c r="L150" s="4">
        <v>8.99</v>
      </c>
      <c r="M150" s="4">
        <f t="shared" si="10"/>
        <v>9.5549999999999997</v>
      </c>
      <c r="N150" s="4">
        <f t="shared" si="12"/>
        <v>9.5549999999999997</v>
      </c>
      <c r="O150" s="6">
        <v>9</v>
      </c>
      <c r="P150" s="4">
        <f t="shared" si="11"/>
        <v>6.8249999999999993</v>
      </c>
    </row>
    <row r="151" spans="1:16" x14ac:dyDescent="0.2">
      <c r="A151" s="2" t="s">
        <v>330</v>
      </c>
      <c r="B151" s="2" t="s">
        <v>331</v>
      </c>
      <c r="C151" s="3" t="s">
        <v>225</v>
      </c>
      <c r="D151" s="4">
        <v>0.49</v>
      </c>
      <c r="E151" s="4">
        <v>0.5</v>
      </c>
      <c r="F151" s="4">
        <v>0.5</v>
      </c>
      <c r="G151" s="4">
        <v>0.5</v>
      </c>
      <c r="H151" s="5">
        <v>1.07</v>
      </c>
      <c r="I151" s="4">
        <v>0.78</v>
      </c>
      <c r="J151" s="4">
        <v>0.7</v>
      </c>
      <c r="K151" s="4">
        <f t="shared" si="9"/>
        <v>0.5</v>
      </c>
      <c r="L151" s="4">
        <v>0.7</v>
      </c>
      <c r="M151" s="4">
        <f t="shared" si="10"/>
        <v>0.52500000000000002</v>
      </c>
      <c r="N151" s="4">
        <f t="shared" si="12"/>
        <v>0.52500000000000002</v>
      </c>
      <c r="O151" s="6">
        <v>1.1599999999999999</v>
      </c>
      <c r="P151" s="4">
        <f t="shared" si="11"/>
        <v>0.375</v>
      </c>
    </row>
    <row r="152" spans="1:16" x14ac:dyDescent="0.2">
      <c r="A152" s="2" t="s">
        <v>332</v>
      </c>
      <c r="B152" s="2" t="s">
        <v>333</v>
      </c>
      <c r="C152" s="3" t="s">
        <v>225</v>
      </c>
      <c r="D152" s="4">
        <v>3.92</v>
      </c>
      <c r="E152" s="4">
        <v>3.65</v>
      </c>
      <c r="F152" s="4">
        <v>3.65</v>
      </c>
      <c r="G152" s="4">
        <v>3.65</v>
      </c>
      <c r="H152" s="5">
        <v>4.92</v>
      </c>
      <c r="I152" s="4">
        <v>4.2699999999999996</v>
      </c>
      <c r="J152" s="4">
        <v>3.84</v>
      </c>
      <c r="K152" s="4">
        <f t="shared" si="9"/>
        <v>3.65</v>
      </c>
      <c r="L152" s="4">
        <v>3.84</v>
      </c>
      <c r="M152" s="4">
        <f t="shared" si="10"/>
        <v>3.8325</v>
      </c>
      <c r="N152" s="4">
        <f t="shared" si="12"/>
        <v>3.8325</v>
      </c>
      <c r="O152" s="6">
        <v>4.21</v>
      </c>
      <c r="P152" s="4">
        <f t="shared" si="11"/>
        <v>2.7374999999999998</v>
      </c>
    </row>
    <row r="153" spans="1:16" x14ac:dyDescent="0.2">
      <c r="A153" s="2" t="s">
        <v>334</v>
      </c>
      <c r="B153" s="2" t="s">
        <v>335</v>
      </c>
      <c r="C153" s="3" t="s">
        <v>225</v>
      </c>
      <c r="D153" s="4">
        <v>0.47</v>
      </c>
      <c r="E153" s="4">
        <v>0.77</v>
      </c>
      <c r="F153" s="4">
        <v>0.77</v>
      </c>
      <c r="G153" s="4">
        <v>0.77</v>
      </c>
      <c r="H153" s="5">
        <v>0.88</v>
      </c>
      <c r="I153" s="4">
        <v>0.66</v>
      </c>
      <c r="J153" s="4">
        <v>0.59</v>
      </c>
      <c r="K153" s="4">
        <f t="shared" si="9"/>
        <v>0.77</v>
      </c>
      <c r="L153" s="4">
        <v>0.59</v>
      </c>
      <c r="M153" s="4">
        <f t="shared" si="10"/>
        <v>0.80850000000000011</v>
      </c>
      <c r="N153" s="4">
        <f t="shared" si="12"/>
        <v>0.80850000000000011</v>
      </c>
      <c r="O153" s="6">
        <v>0.62</v>
      </c>
      <c r="P153" s="4">
        <f t="shared" si="11"/>
        <v>0.57750000000000001</v>
      </c>
    </row>
    <row r="154" spans="1:16" x14ac:dyDescent="0.2">
      <c r="A154" s="11" t="s">
        <v>336</v>
      </c>
      <c r="B154" s="11" t="s">
        <v>337</v>
      </c>
      <c r="C154" s="3" t="s">
        <v>225</v>
      </c>
      <c r="D154" s="9" t="s">
        <v>35</v>
      </c>
      <c r="E154" s="4">
        <v>3.72</v>
      </c>
      <c r="F154" s="4">
        <v>3.72</v>
      </c>
      <c r="G154" s="4">
        <v>3.72</v>
      </c>
      <c r="H154" s="5">
        <v>5.1100000000000003</v>
      </c>
      <c r="I154" s="4">
        <v>5.48</v>
      </c>
      <c r="J154" s="4">
        <v>4.92</v>
      </c>
      <c r="K154" s="4">
        <f t="shared" si="9"/>
        <v>3.72</v>
      </c>
      <c r="L154" s="4">
        <v>4.92</v>
      </c>
      <c r="M154" s="4">
        <f t="shared" si="10"/>
        <v>3.9060000000000006</v>
      </c>
      <c r="N154" s="4">
        <f t="shared" si="12"/>
        <v>3.9060000000000006</v>
      </c>
      <c r="O154" s="6">
        <v>5.03</v>
      </c>
      <c r="P154" s="4">
        <f t="shared" si="11"/>
        <v>2.79</v>
      </c>
    </row>
    <row r="155" spans="1:16" x14ac:dyDescent="0.2">
      <c r="A155" s="2" t="s">
        <v>338</v>
      </c>
      <c r="B155" s="2" t="s">
        <v>339</v>
      </c>
      <c r="C155" s="3" t="s">
        <v>128</v>
      </c>
      <c r="D155" s="4">
        <v>4.6900000000000004</v>
      </c>
      <c r="E155" s="4">
        <v>0.8</v>
      </c>
      <c r="F155" s="4">
        <v>0.8</v>
      </c>
      <c r="G155" s="4">
        <v>0.8</v>
      </c>
      <c r="H155" s="5">
        <v>0.7</v>
      </c>
      <c r="I155" s="4">
        <v>0.94</v>
      </c>
      <c r="J155" s="4">
        <v>0.84</v>
      </c>
      <c r="K155" s="4">
        <f t="shared" si="9"/>
        <v>0.8</v>
      </c>
      <c r="L155" s="4">
        <v>0.83</v>
      </c>
      <c r="M155" s="4">
        <f t="shared" si="10"/>
        <v>0.84000000000000008</v>
      </c>
      <c r="N155" s="4">
        <f t="shared" si="12"/>
        <v>0.84000000000000008</v>
      </c>
      <c r="O155" s="6">
        <v>0.81</v>
      </c>
      <c r="P155" s="4">
        <f t="shared" si="11"/>
        <v>0.60000000000000009</v>
      </c>
    </row>
    <row r="156" spans="1:16" x14ac:dyDescent="0.2">
      <c r="A156" s="2" t="s">
        <v>340</v>
      </c>
      <c r="B156" s="2" t="s">
        <v>341</v>
      </c>
      <c r="C156" s="3" t="s">
        <v>24</v>
      </c>
      <c r="D156" s="4">
        <v>29.09</v>
      </c>
      <c r="E156" s="4">
        <v>29.76</v>
      </c>
      <c r="F156" s="4">
        <v>29.76</v>
      </c>
      <c r="G156" s="4">
        <v>29.76</v>
      </c>
      <c r="H156" s="5">
        <v>32.31</v>
      </c>
      <c r="I156" s="4">
        <v>31.94</v>
      </c>
      <c r="J156" s="4">
        <v>28.69</v>
      </c>
      <c r="K156" s="4">
        <f t="shared" si="9"/>
        <v>29.76</v>
      </c>
      <c r="L156" s="4">
        <v>28.69</v>
      </c>
      <c r="M156" s="4">
        <f t="shared" si="10"/>
        <v>31.248000000000005</v>
      </c>
      <c r="N156" s="4">
        <f t="shared" si="12"/>
        <v>31.248000000000005</v>
      </c>
      <c r="O156" s="6">
        <v>28.7</v>
      </c>
      <c r="P156" s="4">
        <f t="shared" si="11"/>
        <v>22.32</v>
      </c>
    </row>
    <row r="157" spans="1:16" x14ac:dyDescent="0.2">
      <c r="A157" s="2" t="s">
        <v>342</v>
      </c>
      <c r="B157" s="2" t="s">
        <v>343</v>
      </c>
      <c r="C157" s="3" t="s">
        <v>128</v>
      </c>
      <c r="D157" s="4">
        <v>11.05</v>
      </c>
      <c r="E157" s="4">
        <v>3.85</v>
      </c>
      <c r="F157" s="4">
        <v>3.85</v>
      </c>
      <c r="G157" s="4">
        <v>3.85</v>
      </c>
      <c r="H157" s="5">
        <v>4.1500000000000004</v>
      </c>
      <c r="I157" s="4">
        <v>6.66</v>
      </c>
      <c r="J157" s="4">
        <v>4.12</v>
      </c>
      <c r="K157" s="4">
        <f t="shared" si="9"/>
        <v>3.85</v>
      </c>
      <c r="L157" s="4">
        <v>4.12</v>
      </c>
      <c r="M157" s="4">
        <f t="shared" si="10"/>
        <v>4.0425000000000004</v>
      </c>
      <c r="N157" s="4">
        <f t="shared" si="12"/>
        <v>4.0425000000000004</v>
      </c>
      <c r="O157" s="6">
        <v>3.82</v>
      </c>
      <c r="P157" s="4">
        <f t="shared" si="11"/>
        <v>2.8875000000000002</v>
      </c>
    </row>
    <row r="158" spans="1:16" x14ac:dyDescent="0.2">
      <c r="A158" s="2" t="s">
        <v>344</v>
      </c>
      <c r="B158" s="2" t="s">
        <v>345</v>
      </c>
      <c r="C158" s="3" t="s">
        <v>18</v>
      </c>
      <c r="D158" s="4">
        <v>53.21</v>
      </c>
      <c r="E158" s="4">
        <v>55.03</v>
      </c>
      <c r="F158" s="4">
        <v>55.03</v>
      </c>
      <c r="G158" s="4">
        <v>55.03</v>
      </c>
      <c r="H158" s="5">
        <v>60.8</v>
      </c>
      <c r="I158" s="4">
        <v>61.29</v>
      </c>
      <c r="J158" s="4">
        <v>55.06</v>
      </c>
      <c r="K158" s="4">
        <f t="shared" si="9"/>
        <v>55.03</v>
      </c>
      <c r="L158" s="4">
        <v>55.06</v>
      </c>
      <c r="M158" s="4">
        <f t="shared" si="10"/>
        <v>57.781500000000001</v>
      </c>
      <c r="N158" s="4">
        <f t="shared" si="12"/>
        <v>57.781500000000001</v>
      </c>
      <c r="O158" s="6">
        <v>54.67</v>
      </c>
      <c r="P158" s="4">
        <f t="shared" si="11"/>
        <v>41.272500000000001</v>
      </c>
    </row>
    <row r="159" spans="1:16" x14ac:dyDescent="0.2">
      <c r="A159" s="15" t="s">
        <v>346</v>
      </c>
      <c r="B159" s="15" t="s">
        <v>347</v>
      </c>
      <c r="C159" s="16" t="s">
        <v>18</v>
      </c>
      <c r="D159" s="6">
        <v>68.599999999999994</v>
      </c>
      <c r="E159" s="10">
        <v>70.77</v>
      </c>
      <c r="F159" s="10">
        <v>70.77</v>
      </c>
      <c r="G159" s="10">
        <v>70.77</v>
      </c>
      <c r="H159" s="5">
        <v>73.02</v>
      </c>
      <c r="I159" s="10">
        <v>78.8</v>
      </c>
      <c r="J159" s="10">
        <v>70.790000000000006</v>
      </c>
      <c r="K159" s="4">
        <f t="shared" si="9"/>
        <v>70.77</v>
      </c>
      <c r="L159" s="10">
        <v>70.790000000000006</v>
      </c>
      <c r="M159" s="4">
        <f t="shared" si="10"/>
        <v>74.308499999999995</v>
      </c>
      <c r="N159" s="4">
        <f t="shared" si="12"/>
        <v>74.308499999999995</v>
      </c>
      <c r="O159" s="10">
        <v>69.84</v>
      </c>
      <c r="P159" s="4">
        <f t="shared" si="11"/>
        <v>53.077500000000001</v>
      </c>
    </row>
    <row r="160" spans="1:16" x14ac:dyDescent="0.2">
      <c r="A160" s="2" t="s">
        <v>348</v>
      </c>
      <c r="B160" s="2" t="s">
        <v>349</v>
      </c>
      <c r="C160" s="3" t="s">
        <v>18</v>
      </c>
      <c r="D160" s="4">
        <v>54.51</v>
      </c>
      <c r="E160" s="4">
        <v>24.75</v>
      </c>
      <c r="F160" s="4">
        <v>24.75</v>
      </c>
      <c r="G160" s="4">
        <v>24.75</v>
      </c>
      <c r="H160" s="5">
        <v>63.98</v>
      </c>
      <c r="I160" s="4">
        <v>29.31</v>
      </c>
      <c r="J160" s="4">
        <v>26.33</v>
      </c>
      <c r="K160" s="4">
        <f t="shared" si="9"/>
        <v>24.75</v>
      </c>
      <c r="L160" s="4">
        <v>26.33</v>
      </c>
      <c r="M160" s="4">
        <f t="shared" si="10"/>
        <v>25.987500000000001</v>
      </c>
      <c r="N160" s="4">
        <f t="shared" si="12"/>
        <v>25.987500000000001</v>
      </c>
      <c r="O160" s="6">
        <v>19.760000000000002</v>
      </c>
      <c r="P160" s="4">
        <f t="shared" si="11"/>
        <v>18.5625</v>
      </c>
    </row>
    <row r="161" spans="1:16" x14ac:dyDescent="0.2">
      <c r="A161" s="2" t="s">
        <v>350</v>
      </c>
      <c r="B161" s="14" t="s">
        <v>351</v>
      </c>
      <c r="C161" s="3" t="s">
        <v>352</v>
      </c>
      <c r="D161" s="4">
        <v>255.47</v>
      </c>
      <c r="E161" s="4">
        <v>261.19499999999999</v>
      </c>
      <c r="F161" s="4">
        <v>261.19499999999999</v>
      </c>
      <c r="G161" s="4">
        <v>261.19499999999999</v>
      </c>
      <c r="H161" s="5">
        <v>253.37</v>
      </c>
      <c r="I161" s="4">
        <v>289.98</v>
      </c>
      <c r="J161" s="4">
        <v>260.49</v>
      </c>
      <c r="K161" s="4">
        <f t="shared" si="9"/>
        <v>261.19499999999999</v>
      </c>
      <c r="L161" s="4">
        <v>260.49</v>
      </c>
      <c r="M161" s="4">
        <f t="shared" si="10"/>
        <v>274.25475</v>
      </c>
      <c r="N161" s="4">
        <f t="shared" si="12"/>
        <v>274.25475</v>
      </c>
      <c r="O161" s="6">
        <v>255.09</v>
      </c>
      <c r="P161" s="4">
        <f t="shared" si="11"/>
        <v>195.89625000000001</v>
      </c>
    </row>
    <row r="162" spans="1:16" x14ac:dyDescent="0.2">
      <c r="A162" s="2" t="s">
        <v>353</v>
      </c>
      <c r="B162" s="2" t="s">
        <v>354</v>
      </c>
      <c r="C162" s="3" t="s">
        <v>24</v>
      </c>
      <c r="D162" s="4">
        <v>4.3</v>
      </c>
      <c r="E162" s="4">
        <v>4.46</v>
      </c>
      <c r="F162" s="4">
        <v>4.46</v>
      </c>
      <c r="G162" s="4">
        <v>4.46</v>
      </c>
      <c r="H162" s="5">
        <v>5.93</v>
      </c>
      <c r="I162" s="4">
        <v>4.95</v>
      </c>
      <c r="J162" s="4">
        <v>4.45</v>
      </c>
      <c r="K162" s="4">
        <f t="shared" si="9"/>
        <v>4.46</v>
      </c>
      <c r="L162" s="4">
        <v>4.45</v>
      </c>
      <c r="M162" s="4">
        <f t="shared" si="10"/>
        <v>4.6829999999999998</v>
      </c>
      <c r="N162" s="4">
        <f t="shared" si="12"/>
        <v>4.6829999999999998</v>
      </c>
      <c r="O162" s="6">
        <v>4.3600000000000003</v>
      </c>
      <c r="P162" s="4">
        <f t="shared" si="11"/>
        <v>3.3449999999999998</v>
      </c>
    </row>
    <row r="163" spans="1:16" x14ac:dyDescent="0.2">
      <c r="A163" s="2" t="s">
        <v>355</v>
      </c>
      <c r="B163" s="2" t="s">
        <v>356</v>
      </c>
      <c r="C163" s="3" t="s">
        <v>24</v>
      </c>
      <c r="D163" s="4">
        <v>0.37</v>
      </c>
      <c r="E163" s="4">
        <v>0.56000000000000005</v>
      </c>
      <c r="F163" s="4">
        <v>0.56000000000000005</v>
      </c>
      <c r="G163" s="4">
        <v>0.56000000000000005</v>
      </c>
      <c r="H163" s="5">
        <v>1.01</v>
      </c>
      <c r="I163" s="4">
        <v>5.56</v>
      </c>
      <c r="J163" s="4">
        <v>0.65</v>
      </c>
      <c r="K163" s="4">
        <f t="shared" si="9"/>
        <v>0.56000000000000005</v>
      </c>
      <c r="L163" s="4">
        <v>0.63</v>
      </c>
      <c r="M163" s="4">
        <f t="shared" si="10"/>
        <v>0.58800000000000008</v>
      </c>
      <c r="N163" s="4">
        <f t="shared" si="12"/>
        <v>0.58800000000000008</v>
      </c>
      <c r="O163" s="6">
        <v>0.38</v>
      </c>
      <c r="P163" s="4">
        <f t="shared" si="11"/>
        <v>0.42000000000000004</v>
      </c>
    </row>
    <row r="164" spans="1:16" x14ac:dyDescent="0.2">
      <c r="A164" s="2" t="s">
        <v>357</v>
      </c>
      <c r="B164" s="2" t="s">
        <v>358</v>
      </c>
      <c r="C164" s="3" t="s">
        <v>24</v>
      </c>
      <c r="D164" s="4">
        <v>48.98</v>
      </c>
      <c r="E164" s="4">
        <v>50.61</v>
      </c>
      <c r="F164" s="4">
        <v>50.61</v>
      </c>
      <c r="G164" s="4">
        <v>50.61</v>
      </c>
      <c r="H164" s="5">
        <v>54.35</v>
      </c>
      <c r="I164" s="4">
        <v>55.39</v>
      </c>
      <c r="J164" s="4">
        <v>49.76</v>
      </c>
      <c r="K164" s="4">
        <f t="shared" si="9"/>
        <v>50.61</v>
      </c>
      <c r="L164" s="4">
        <v>49.76</v>
      </c>
      <c r="M164" s="4">
        <f t="shared" si="10"/>
        <v>53.140500000000003</v>
      </c>
      <c r="N164" s="4">
        <f t="shared" si="12"/>
        <v>53.140500000000003</v>
      </c>
      <c r="O164" s="6">
        <v>49.08</v>
      </c>
      <c r="P164" s="4">
        <f t="shared" si="11"/>
        <v>37.957499999999996</v>
      </c>
    </row>
    <row r="165" spans="1:16" x14ac:dyDescent="0.2">
      <c r="A165" s="2" t="s">
        <v>359</v>
      </c>
      <c r="B165" s="2" t="s">
        <v>360</v>
      </c>
      <c r="C165" s="3" t="s">
        <v>18</v>
      </c>
      <c r="D165" s="4">
        <v>84.22</v>
      </c>
      <c r="E165" s="4">
        <v>86.15</v>
      </c>
      <c r="F165" s="4">
        <v>86.15</v>
      </c>
      <c r="G165" s="4">
        <v>86.15</v>
      </c>
      <c r="H165" s="5">
        <v>83.62</v>
      </c>
      <c r="I165" s="4">
        <v>96.04</v>
      </c>
      <c r="J165" s="4">
        <v>86.27</v>
      </c>
      <c r="K165" s="4">
        <f t="shared" si="9"/>
        <v>86.15</v>
      </c>
      <c r="L165" s="4">
        <v>86.27</v>
      </c>
      <c r="M165" s="4">
        <f t="shared" si="10"/>
        <v>90.45750000000001</v>
      </c>
      <c r="N165" s="4">
        <f t="shared" si="12"/>
        <v>90.45750000000001</v>
      </c>
      <c r="O165" s="6">
        <v>85.25</v>
      </c>
      <c r="P165" s="4">
        <f t="shared" si="11"/>
        <v>64.612500000000011</v>
      </c>
    </row>
    <row r="166" spans="1:16" x14ac:dyDescent="0.2">
      <c r="A166" s="8" t="s">
        <v>361</v>
      </c>
      <c r="B166" s="8" t="s">
        <v>362</v>
      </c>
      <c r="C166" s="3" t="s">
        <v>24</v>
      </c>
      <c r="D166" s="4">
        <v>44.3</v>
      </c>
      <c r="E166" s="4">
        <v>46.09</v>
      </c>
      <c r="F166" s="4" t="e">
        <f>#REF!*0.35</f>
        <v>#REF!</v>
      </c>
      <c r="G166" s="4" t="e">
        <f>#REF!*0.4</f>
        <v>#REF!</v>
      </c>
      <c r="H166" s="5">
        <v>44.75</v>
      </c>
      <c r="I166" s="4">
        <v>49.82</v>
      </c>
      <c r="J166" s="4">
        <v>48.71</v>
      </c>
      <c r="K166" s="4">
        <v>44.75</v>
      </c>
      <c r="L166" s="4">
        <v>45.65</v>
      </c>
      <c r="M166" s="4">
        <v>44.3</v>
      </c>
      <c r="N166" s="4" t="e">
        <f>#REF!*0.2</f>
        <v>#REF!</v>
      </c>
      <c r="O166" s="7" t="s">
        <v>32</v>
      </c>
      <c r="P166" s="4" t="e">
        <f>#REF!*0.75</f>
        <v>#REF!</v>
      </c>
    </row>
    <row r="167" spans="1:16" x14ac:dyDescent="0.2">
      <c r="A167" s="15" t="s">
        <v>363</v>
      </c>
      <c r="B167" s="15" t="s">
        <v>364</v>
      </c>
      <c r="C167" s="16" t="s">
        <v>24</v>
      </c>
      <c r="D167" s="6">
        <v>7.66</v>
      </c>
      <c r="E167" s="10">
        <v>8.0399999999999991</v>
      </c>
      <c r="F167" s="10">
        <v>8.0399999999999991</v>
      </c>
      <c r="G167" s="10">
        <v>8.0399999999999991</v>
      </c>
      <c r="H167" s="5">
        <v>7.59</v>
      </c>
      <c r="I167" s="10">
        <v>8.9499999999999993</v>
      </c>
      <c r="J167" s="10">
        <v>8.0399999999999991</v>
      </c>
      <c r="K167" s="4">
        <f>E167</f>
        <v>8.0399999999999991</v>
      </c>
      <c r="L167" s="10">
        <v>8.0399999999999991</v>
      </c>
      <c r="M167" s="4">
        <f t="shared" ref="M167:M230" si="13">E167*1.05</f>
        <v>8.4420000000000002</v>
      </c>
      <c r="N167" s="4">
        <f>E167*1.05</f>
        <v>8.4420000000000002</v>
      </c>
      <c r="O167" s="10">
        <v>7.88</v>
      </c>
      <c r="P167" s="4">
        <f t="shared" si="11"/>
        <v>6.0299999999999994</v>
      </c>
    </row>
    <row r="168" spans="1:16" x14ac:dyDescent="0.2">
      <c r="A168" s="15" t="s">
        <v>365</v>
      </c>
      <c r="B168" s="15" t="s">
        <v>366</v>
      </c>
      <c r="C168" s="16" t="s">
        <v>73</v>
      </c>
      <c r="D168" s="6">
        <v>34.76</v>
      </c>
      <c r="E168" s="10">
        <v>36.71</v>
      </c>
      <c r="F168" s="10">
        <v>36.71</v>
      </c>
      <c r="G168" s="10">
        <v>36.71</v>
      </c>
      <c r="H168" s="5">
        <v>36.340000000000003</v>
      </c>
      <c r="I168" s="10">
        <v>40.880000000000003</v>
      </c>
      <c r="J168" s="10">
        <v>36.72</v>
      </c>
      <c r="K168" s="4">
        <f t="shared" ref="K168:K172" si="14">E168</f>
        <v>36.71</v>
      </c>
      <c r="L168" s="10">
        <v>36.72</v>
      </c>
      <c r="M168" s="4">
        <f t="shared" si="13"/>
        <v>38.545500000000004</v>
      </c>
      <c r="N168" s="4">
        <f t="shared" ref="N168:N173" si="15">E168*1.05</f>
        <v>38.545500000000004</v>
      </c>
      <c r="O168" s="10">
        <v>36.659999999999997</v>
      </c>
      <c r="P168" s="4">
        <f t="shared" si="11"/>
        <v>27.532499999999999</v>
      </c>
    </row>
    <row r="169" spans="1:16" x14ac:dyDescent="0.2">
      <c r="A169" s="2" t="s">
        <v>367</v>
      </c>
      <c r="B169" s="2" t="s">
        <v>368</v>
      </c>
      <c r="C169" s="3" t="s">
        <v>91</v>
      </c>
      <c r="D169" s="4">
        <v>1.96</v>
      </c>
      <c r="E169" s="4">
        <v>1.77</v>
      </c>
      <c r="F169" s="4">
        <v>1.77</v>
      </c>
      <c r="G169" s="4">
        <v>1.77</v>
      </c>
      <c r="H169" s="5">
        <v>2.0299999999999998</v>
      </c>
      <c r="I169" s="4">
        <v>2.19</v>
      </c>
      <c r="J169" s="4">
        <v>1.97</v>
      </c>
      <c r="K169" s="4">
        <f t="shared" si="14"/>
        <v>1.77</v>
      </c>
      <c r="L169" s="4">
        <v>1.97</v>
      </c>
      <c r="M169" s="4">
        <f t="shared" si="13"/>
        <v>1.8585</v>
      </c>
      <c r="N169" s="4">
        <f t="shared" si="15"/>
        <v>1.8585</v>
      </c>
      <c r="O169" s="6">
        <v>1.59</v>
      </c>
      <c r="P169" s="4">
        <f t="shared" si="11"/>
        <v>1.3275000000000001</v>
      </c>
    </row>
    <row r="170" spans="1:16" x14ac:dyDescent="0.2">
      <c r="A170" s="2" t="s">
        <v>369</v>
      </c>
      <c r="B170" s="2" t="s">
        <v>370</v>
      </c>
      <c r="C170" s="3" t="s">
        <v>116</v>
      </c>
      <c r="D170" s="4">
        <v>88.13</v>
      </c>
      <c r="E170" s="4">
        <v>76.760000000000005</v>
      </c>
      <c r="F170" s="4">
        <v>76.760000000000005</v>
      </c>
      <c r="G170" s="4">
        <v>76.760000000000005</v>
      </c>
      <c r="H170" s="5">
        <v>81.42</v>
      </c>
      <c r="I170" s="4">
        <v>80.83</v>
      </c>
      <c r="J170" s="4">
        <v>72.61</v>
      </c>
      <c r="K170" s="4">
        <f t="shared" si="14"/>
        <v>76.760000000000005</v>
      </c>
      <c r="L170" s="4">
        <v>72.61</v>
      </c>
      <c r="M170" s="4">
        <f t="shared" si="13"/>
        <v>80.598000000000013</v>
      </c>
      <c r="N170" s="4">
        <f t="shared" si="15"/>
        <v>80.598000000000013</v>
      </c>
      <c r="O170" s="6">
        <v>104.58</v>
      </c>
      <c r="P170" s="4">
        <f t="shared" si="11"/>
        <v>57.570000000000007</v>
      </c>
    </row>
    <row r="171" spans="1:16" x14ac:dyDescent="0.2">
      <c r="A171" s="2" t="s">
        <v>369</v>
      </c>
      <c r="B171" s="2" t="s">
        <v>371</v>
      </c>
      <c r="C171" s="3" t="s">
        <v>116</v>
      </c>
      <c r="D171" s="4">
        <v>64.989999999999995</v>
      </c>
      <c r="E171" s="4">
        <v>76.760000000000005</v>
      </c>
      <c r="F171" s="4">
        <v>76.760000000000005</v>
      </c>
      <c r="G171" s="4">
        <v>76.760000000000005</v>
      </c>
      <c r="H171" s="5">
        <v>81.42</v>
      </c>
      <c r="I171" s="4">
        <v>80.83</v>
      </c>
      <c r="J171" s="4">
        <v>72.61</v>
      </c>
      <c r="K171" s="4">
        <f t="shared" si="14"/>
        <v>76.760000000000005</v>
      </c>
      <c r="L171" s="4">
        <v>72.61</v>
      </c>
      <c r="M171" s="4">
        <f t="shared" si="13"/>
        <v>80.598000000000013</v>
      </c>
      <c r="N171" s="4">
        <f t="shared" si="15"/>
        <v>80.598000000000013</v>
      </c>
      <c r="O171" s="6">
        <v>104.58</v>
      </c>
      <c r="P171" s="4">
        <f t="shared" si="11"/>
        <v>57.570000000000007</v>
      </c>
    </row>
    <row r="172" spans="1:16" x14ac:dyDescent="0.2">
      <c r="A172" s="2" t="s">
        <v>372</v>
      </c>
      <c r="B172" s="2" t="s">
        <v>373</v>
      </c>
      <c r="C172" s="3" t="s">
        <v>18</v>
      </c>
      <c r="D172" s="4">
        <v>0.64</v>
      </c>
      <c r="E172" s="4">
        <v>0.9</v>
      </c>
      <c r="F172" s="4">
        <v>0.9</v>
      </c>
      <c r="G172" s="4">
        <v>0.9</v>
      </c>
      <c r="H172" s="5">
        <v>0.65</v>
      </c>
      <c r="I172" s="4">
        <v>3.6</v>
      </c>
      <c r="J172" s="4">
        <v>1.04</v>
      </c>
      <c r="K172" s="4">
        <f t="shared" si="14"/>
        <v>0.9</v>
      </c>
      <c r="L172" s="4">
        <v>1.04</v>
      </c>
      <c r="M172" s="4">
        <f t="shared" si="13"/>
        <v>0.94500000000000006</v>
      </c>
      <c r="N172" s="4">
        <f t="shared" si="15"/>
        <v>0.94500000000000006</v>
      </c>
      <c r="O172" s="6">
        <v>0.98</v>
      </c>
      <c r="P172" s="4">
        <f t="shared" si="11"/>
        <v>0.67500000000000004</v>
      </c>
    </row>
    <row r="173" spans="1:16" x14ac:dyDescent="0.2">
      <c r="A173" s="2" t="s">
        <v>374</v>
      </c>
      <c r="B173" s="2" t="s">
        <v>375</v>
      </c>
      <c r="C173" s="3" t="s">
        <v>376</v>
      </c>
      <c r="D173" s="4">
        <v>389.92</v>
      </c>
      <c r="E173" s="4">
        <v>410.44</v>
      </c>
      <c r="F173" s="4">
        <v>410.44</v>
      </c>
      <c r="G173" s="4">
        <v>410.44</v>
      </c>
      <c r="H173" s="5">
        <v>390</v>
      </c>
      <c r="I173" s="4">
        <v>434.15</v>
      </c>
      <c r="J173" s="4">
        <v>383.76</v>
      </c>
      <c r="K173" s="4">
        <v>390</v>
      </c>
      <c r="L173" s="4">
        <v>397.8</v>
      </c>
      <c r="M173" s="4">
        <f t="shared" si="13"/>
        <v>430.96199999999999</v>
      </c>
      <c r="N173" s="4">
        <f t="shared" si="15"/>
        <v>430.96199999999999</v>
      </c>
      <c r="O173" s="7" t="s">
        <v>32</v>
      </c>
      <c r="P173" s="4">
        <f t="shared" si="11"/>
        <v>307.83</v>
      </c>
    </row>
    <row r="174" spans="1:16" x14ac:dyDescent="0.2">
      <c r="A174" s="2" t="s">
        <v>377</v>
      </c>
      <c r="B174" s="2" t="s">
        <v>378</v>
      </c>
      <c r="C174" s="3" t="s">
        <v>48</v>
      </c>
      <c r="D174" s="4">
        <v>77.25</v>
      </c>
      <c r="E174" s="4">
        <v>217.73</v>
      </c>
      <c r="F174" s="4">
        <v>217.73</v>
      </c>
      <c r="G174" s="4">
        <v>217.73</v>
      </c>
      <c r="H174" s="5">
        <v>65.319999999999993</v>
      </c>
      <c r="I174" s="4">
        <v>90.63</v>
      </c>
      <c r="J174" s="4">
        <v>81.41</v>
      </c>
      <c r="K174" s="4">
        <f>E174</f>
        <v>217.73</v>
      </c>
      <c r="L174" s="4">
        <v>81.41</v>
      </c>
      <c r="M174" s="4">
        <f t="shared" si="13"/>
        <v>228.6165</v>
      </c>
      <c r="N174" s="4">
        <f>E174*1.05</f>
        <v>228.6165</v>
      </c>
      <c r="O174" s="6">
        <v>168.3</v>
      </c>
      <c r="P174" s="4">
        <f t="shared" si="11"/>
        <v>163.29749999999999</v>
      </c>
    </row>
    <row r="175" spans="1:16" x14ac:dyDescent="0.2">
      <c r="A175" s="2" t="s">
        <v>379</v>
      </c>
      <c r="B175" s="2" t="s">
        <v>380</v>
      </c>
      <c r="C175" s="3" t="s">
        <v>125</v>
      </c>
      <c r="D175" s="4">
        <v>2.17</v>
      </c>
      <c r="E175" s="4">
        <v>2.06</v>
      </c>
      <c r="F175" s="4">
        <v>2.06</v>
      </c>
      <c r="G175" s="4">
        <v>2.06</v>
      </c>
      <c r="H175" s="5">
        <v>2.46</v>
      </c>
      <c r="I175" s="4">
        <v>2.5499999999999998</v>
      </c>
      <c r="J175" s="4">
        <v>1.94</v>
      </c>
      <c r="K175" s="4">
        <f t="shared" ref="K175:K190" si="16">E175</f>
        <v>2.06</v>
      </c>
      <c r="L175" s="4">
        <v>1.94</v>
      </c>
      <c r="M175" s="4">
        <f t="shared" si="13"/>
        <v>2.1630000000000003</v>
      </c>
      <c r="N175" s="4">
        <f t="shared" ref="N175:N244" si="17">E175*1.05</f>
        <v>2.1630000000000003</v>
      </c>
      <c r="O175" s="6">
        <v>1.72</v>
      </c>
      <c r="P175" s="4">
        <f t="shared" si="11"/>
        <v>1.5449999999999999</v>
      </c>
    </row>
    <row r="176" spans="1:16" x14ac:dyDescent="0.2">
      <c r="A176" s="11" t="s">
        <v>381</v>
      </c>
      <c r="B176" s="11" t="s">
        <v>382</v>
      </c>
      <c r="C176" s="3" t="s">
        <v>376</v>
      </c>
      <c r="D176" s="9" t="s">
        <v>35</v>
      </c>
      <c r="E176" s="4">
        <v>5.29</v>
      </c>
      <c r="F176" s="4">
        <v>5.29</v>
      </c>
      <c r="G176" s="4">
        <v>5.29</v>
      </c>
      <c r="H176" s="5">
        <v>8.11</v>
      </c>
      <c r="I176" s="4">
        <v>5.89</v>
      </c>
      <c r="J176" s="4">
        <v>5.29</v>
      </c>
      <c r="K176" s="4">
        <f t="shared" si="16"/>
        <v>5.29</v>
      </c>
      <c r="L176" s="4">
        <v>5.29</v>
      </c>
      <c r="M176" s="4">
        <f t="shared" si="13"/>
        <v>5.5545</v>
      </c>
      <c r="N176" s="4">
        <f t="shared" si="17"/>
        <v>5.5545</v>
      </c>
      <c r="O176" s="6">
        <v>9.34</v>
      </c>
      <c r="P176" s="4">
        <f t="shared" si="11"/>
        <v>3.9675000000000002</v>
      </c>
    </row>
    <row r="177" spans="1:16" x14ac:dyDescent="0.2">
      <c r="A177" s="2" t="s">
        <v>383</v>
      </c>
      <c r="B177" s="2" t="s">
        <v>384</v>
      </c>
      <c r="C177" s="3" t="s">
        <v>376</v>
      </c>
      <c r="D177" s="4">
        <v>4.8</v>
      </c>
      <c r="E177" s="4">
        <v>3.24</v>
      </c>
      <c r="F177" s="4">
        <v>3.24</v>
      </c>
      <c r="G177" s="4">
        <v>3.24</v>
      </c>
      <c r="H177" s="5">
        <v>4.3899999999999997</v>
      </c>
      <c r="I177" s="4">
        <v>38.950000000000003</v>
      </c>
      <c r="J177" s="4">
        <v>3.59</v>
      </c>
      <c r="K177" s="4">
        <f t="shared" si="16"/>
        <v>3.24</v>
      </c>
      <c r="L177" s="4">
        <v>3.59</v>
      </c>
      <c r="M177" s="4">
        <f t="shared" si="13"/>
        <v>3.4020000000000006</v>
      </c>
      <c r="N177" s="4">
        <f t="shared" si="17"/>
        <v>3.4020000000000006</v>
      </c>
      <c r="O177" s="6">
        <v>2.96</v>
      </c>
      <c r="P177" s="4">
        <f t="shared" si="11"/>
        <v>2.4300000000000002</v>
      </c>
    </row>
    <row r="178" spans="1:16" x14ac:dyDescent="0.2">
      <c r="A178" s="2" t="s">
        <v>385</v>
      </c>
      <c r="B178" s="2" t="s">
        <v>386</v>
      </c>
      <c r="C178" s="3" t="s">
        <v>387</v>
      </c>
      <c r="D178" s="4">
        <v>1179.02</v>
      </c>
      <c r="E178" s="4">
        <v>777.5</v>
      </c>
      <c r="F178" s="4">
        <v>777.5</v>
      </c>
      <c r="G178" s="4">
        <v>777.5</v>
      </c>
      <c r="H178" s="5">
        <v>778.31</v>
      </c>
      <c r="I178" s="4">
        <v>865.52</v>
      </c>
      <c r="J178" s="4">
        <v>777.5</v>
      </c>
      <c r="K178" s="4">
        <f t="shared" si="16"/>
        <v>777.5</v>
      </c>
      <c r="L178" s="4">
        <v>777.5</v>
      </c>
      <c r="M178" s="4">
        <f t="shared" si="13"/>
        <v>816.375</v>
      </c>
      <c r="N178" s="4">
        <f t="shared" si="17"/>
        <v>816.375</v>
      </c>
      <c r="O178" s="7" t="s">
        <v>32</v>
      </c>
      <c r="P178" s="4">
        <f t="shared" si="11"/>
        <v>583.125</v>
      </c>
    </row>
    <row r="179" spans="1:16" x14ac:dyDescent="0.2">
      <c r="A179" s="2" t="s">
        <v>388</v>
      </c>
      <c r="B179" s="2" t="s">
        <v>389</v>
      </c>
      <c r="C179" s="3" t="s">
        <v>24</v>
      </c>
      <c r="D179" s="4">
        <v>243.9</v>
      </c>
      <c r="E179" s="4">
        <v>253.47</v>
      </c>
      <c r="F179" s="4">
        <v>253.47</v>
      </c>
      <c r="G179" s="4">
        <v>253.47</v>
      </c>
      <c r="H179" s="5">
        <v>242.69</v>
      </c>
      <c r="I179" s="4">
        <v>282.17</v>
      </c>
      <c r="J179" s="4">
        <v>253.47</v>
      </c>
      <c r="K179" s="4">
        <f t="shared" si="16"/>
        <v>253.47</v>
      </c>
      <c r="L179" s="4">
        <v>253.47</v>
      </c>
      <c r="M179" s="4">
        <f t="shared" si="13"/>
        <v>266.14350000000002</v>
      </c>
      <c r="N179" s="4">
        <f t="shared" si="17"/>
        <v>266.14350000000002</v>
      </c>
      <c r="O179" s="6">
        <v>248.5</v>
      </c>
      <c r="P179" s="4">
        <f t="shared" si="11"/>
        <v>190.10249999999999</v>
      </c>
    </row>
    <row r="180" spans="1:16" x14ac:dyDescent="0.2">
      <c r="A180" s="15" t="s">
        <v>390</v>
      </c>
      <c r="B180" s="15" t="s">
        <v>391</v>
      </c>
      <c r="C180" s="16" t="s">
        <v>24</v>
      </c>
      <c r="D180" s="17">
        <v>61.66</v>
      </c>
      <c r="E180" s="18">
        <v>66.37</v>
      </c>
      <c r="F180" s="18">
        <v>66.37</v>
      </c>
      <c r="G180" s="18">
        <v>66.37</v>
      </c>
      <c r="H180" s="5">
        <v>71.72</v>
      </c>
      <c r="I180" s="18">
        <v>73.430000000000007</v>
      </c>
      <c r="J180" s="18">
        <v>65.959999999999994</v>
      </c>
      <c r="K180" s="4">
        <f t="shared" si="16"/>
        <v>66.37</v>
      </c>
      <c r="L180" s="18">
        <v>65.959999999999994</v>
      </c>
      <c r="M180" s="4">
        <f t="shared" si="13"/>
        <v>69.688500000000005</v>
      </c>
      <c r="N180" s="4">
        <f t="shared" si="17"/>
        <v>69.688500000000005</v>
      </c>
      <c r="O180" s="18">
        <v>65.260000000000005</v>
      </c>
      <c r="P180" s="4">
        <f t="shared" si="11"/>
        <v>49.777500000000003</v>
      </c>
    </row>
    <row r="181" spans="1:16" x14ac:dyDescent="0.2">
      <c r="A181" s="2" t="s">
        <v>392</v>
      </c>
      <c r="B181" s="2" t="s">
        <v>393</v>
      </c>
      <c r="C181" s="3" t="s">
        <v>394</v>
      </c>
      <c r="D181" s="4">
        <v>2.97</v>
      </c>
      <c r="E181" s="4">
        <v>1.53</v>
      </c>
      <c r="F181" s="4">
        <v>1.53</v>
      </c>
      <c r="G181" s="4">
        <v>1.53</v>
      </c>
      <c r="H181" s="5">
        <v>1.45</v>
      </c>
      <c r="I181" s="4">
        <v>32.369999999999997</v>
      </c>
      <c r="J181" s="4">
        <v>1.79</v>
      </c>
      <c r="K181" s="4">
        <f t="shared" si="16"/>
        <v>1.53</v>
      </c>
      <c r="L181" s="4">
        <v>1.79</v>
      </c>
      <c r="M181" s="4">
        <f t="shared" si="13"/>
        <v>1.6065</v>
      </c>
      <c r="N181" s="4">
        <f t="shared" si="17"/>
        <v>1.6065</v>
      </c>
      <c r="O181" s="6">
        <v>1.4</v>
      </c>
      <c r="P181" s="4">
        <f t="shared" ref="P181:P234" si="18">E181*0.75</f>
        <v>1.1475</v>
      </c>
    </row>
    <row r="182" spans="1:16" x14ac:dyDescent="0.2">
      <c r="A182" s="2" t="s">
        <v>395</v>
      </c>
      <c r="B182" s="2" t="s">
        <v>396</v>
      </c>
      <c r="C182" s="3" t="s">
        <v>24</v>
      </c>
      <c r="D182" s="4">
        <v>134.30000000000001</v>
      </c>
      <c r="E182" s="4">
        <v>139.75</v>
      </c>
      <c r="F182" s="4">
        <v>139.75</v>
      </c>
      <c r="G182" s="4">
        <v>139.75</v>
      </c>
      <c r="H182" s="5">
        <v>133.35</v>
      </c>
      <c r="I182" s="4">
        <v>155.83000000000001</v>
      </c>
      <c r="J182" s="4">
        <v>139.97999999999999</v>
      </c>
      <c r="K182" s="4">
        <f t="shared" si="16"/>
        <v>139.75</v>
      </c>
      <c r="L182" s="4">
        <v>139.97999999999999</v>
      </c>
      <c r="M182" s="4">
        <f t="shared" si="13"/>
        <v>146.73750000000001</v>
      </c>
      <c r="N182" s="4">
        <f t="shared" si="17"/>
        <v>146.73750000000001</v>
      </c>
      <c r="O182" s="6">
        <v>138.66999999999999</v>
      </c>
      <c r="P182" s="4">
        <f t="shared" si="18"/>
        <v>104.8125</v>
      </c>
    </row>
    <row r="183" spans="1:16" x14ac:dyDescent="0.2">
      <c r="A183" s="2" t="s">
        <v>397</v>
      </c>
      <c r="B183" s="2" t="s">
        <v>398</v>
      </c>
      <c r="C183" s="3" t="s">
        <v>399</v>
      </c>
      <c r="D183" s="4">
        <v>25.39</v>
      </c>
      <c r="E183" s="4">
        <v>24.68</v>
      </c>
      <c r="F183" s="4">
        <v>24.68</v>
      </c>
      <c r="G183" s="4">
        <v>24.68</v>
      </c>
      <c r="H183" s="5">
        <v>24.78</v>
      </c>
      <c r="I183" s="4">
        <v>27.65</v>
      </c>
      <c r="J183" s="4">
        <v>24.84</v>
      </c>
      <c r="K183" s="4">
        <f t="shared" si="16"/>
        <v>24.68</v>
      </c>
      <c r="L183" s="4">
        <v>24.84</v>
      </c>
      <c r="M183" s="4">
        <f t="shared" si="13"/>
        <v>25.914000000000001</v>
      </c>
      <c r="N183" s="4">
        <f t="shared" si="17"/>
        <v>25.914000000000001</v>
      </c>
      <c r="O183" s="6">
        <v>23.5</v>
      </c>
      <c r="P183" s="4">
        <f t="shared" si="18"/>
        <v>18.509999999999998</v>
      </c>
    </row>
    <row r="184" spans="1:16" x14ac:dyDescent="0.2">
      <c r="A184" s="2" t="s">
        <v>400</v>
      </c>
      <c r="B184" s="2" t="s">
        <v>401</v>
      </c>
      <c r="C184" s="3" t="s">
        <v>376</v>
      </c>
      <c r="D184" s="4">
        <v>3</v>
      </c>
      <c r="E184" s="4">
        <v>1.33</v>
      </c>
      <c r="F184" s="4">
        <v>1.33</v>
      </c>
      <c r="G184" s="4">
        <v>1.33</v>
      </c>
      <c r="H184" s="5">
        <v>7.41</v>
      </c>
      <c r="I184" s="4">
        <v>1.89</v>
      </c>
      <c r="J184" s="4">
        <v>1.7</v>
      </c>
      <c r="K184" s="4">
        <f t="shared" si="16"/>
        <v>1.33</v>
      </c>
      <c r="L184" s="4">
        <v>1.7</v>
      </c>
      <c r="M184" s="4">
        <f t="shared" si="13"/>
        <v>1.3965000000000001</v>
      </c>
      <c r="N184" s="4">
        <f t="shared" si="17"/>
        <v>1.3965000000000001</v>
      </c>
      <c r="O184" s="6">
        <v>1.33</v>
      </c>
      <c r="P184" s="4">
        <f t="shared" si="18"/>
        <v>0.99750000000000005</v>
      </c>
    </row>
    <row r="185" spans="1:16" x14ac:dyDescent="0.2">
      <c r="A185" s="2" t="s">
        <v>402</v>
      </c>
      <c r="B185" s="2" t="s">
        <v>403</v>
      </c>
      <c r="C185" s="3" t="s">
        <v>225</v>
      </c>
      <c r="D185" s="4">
        <v>39</v>
      </c>
      <c r="E185" s="4">
        <v>39.76</v>
      </c>
      <c r="F185" s="4">
        <v>39.76</v>
      </c>
      <c r="G185" s="4">
        <v>39.76</v>
      </c>
      <c r="H185" s="5">
        <v>31.06</v>
      </c>
      <c r="I185" s="4">
        <v>44.58</v>
      </c>
      <c r="J185" s="4">
        <v>40.049999999999997</v>
      </c>
      <c r="K185" s="4">
        <f t="shared" si="16"/>
        <v>39.76</v>
      </c>
      <c r="L185" s="4">
        <v>40.049999999999997</v>
      </c>
      <c r="M185" s="4">
        <f t="shared" si="13"/>
        <v>41.747999999999998</v>
      </c>
      <c r="N185" s="4">
        <f t="shared" si="17"/>
        <v>41.747999999999998</v>
      </c>
      <c r="O185" s="6">
        <v>37.049999999999997</v>
      </c>
      <c r="P185" s="4">
        <f t="shared" si="18"/>
        <v>29.82</v>
      </c>
    </row>
    <row r="186" spans="1:16" x14ac:dyDescent="0.2">
      <c r="A186" s="2" t="s">
        <v>404</v>
      </c>
      <c r="B186" s="2" t="s">
        <v>405</v>
      </c>
      <c r="C186" s="3" t="s">
        <v>186</v>
      </c>
      <c r="D186" s="4">
        <v>131.9</v>
      </c>
      <c r="E186" s="4">
        <v>176.2</v>
      </c>
      <c r="F186" s="4">
        <v>176.2</v>
      </c>
      <c r="G186" s="4">
        <v>176.2</v>
      </c>
      <c r="H186" s="5">
        <v>190.16</v>
      </c>
      <c r="I186" s="4">
        <v>190.11</v>
      </c>
      <c r="J186" s="4">
        <v>170.78</v>
      </c>
      <c r="K186" s="4">
        <f t="shared" si="16"/>
        <v>176.2</v>
      </c>
      <c r="L186" s="4">
        <v>170.78</v>
      </c>
      <c r="M186" s="4">
        <f t="shared" si="13"/>
        <v>185.01</v>
      </c>
      <c r="N186" s="4">
        <f t="shared" si="17"/>
        <v>185.01</v>
      </c>
      <c r="O186" s="6">
        <v>155.41999999999999</v>
      </c>
      <c r="P186" s="4">
        <f t="shared" si="18"/>
        <v>132.14999999999998</v>
      </c>
    </row>
    <row r="187" spans="1:16" x14ac:dyDescent="0.2">
      <c r="A187" s="2" t="s">
        <v>404</v>
      </c>
      <c r="B187" s="2" t="s">
        <v>406</v>
      </c>
      <c r="C187" s="3" t="s">
        <v>186</v>
      </c>
      <c r="D187" s="4">
        <v>170.12</v>
      </c>
      <c r="E187" s="4">
        <v>176.2</v>
      </c>
      <c r="F187" s="4">
        <v>176.2</v>
      </c>
      <c r="G187" s="4">
        <v>176.2</v>
      </c>
      <c r="H187" s="5">
        <v>190.16</v>
      </c>
      <c r="I187" s="4">
        <v>190.11</v>
      </c>
      <c r="J187" s="4">
        <v>170.78</v>
      </c>
      <c r="K187" s="4">
        <f t="shared" si="16"/>
        <v>176.2</v>
      </c>
      <c r="L187" s="4">
        <v>170.78</v>
      </c>
      <c r="M187" s="4">
        <f t="shared" si="13"/>
        <v>185.01</v>
      </c>
      <c r="N187" s="4">
        <f t="shared" si="17"/>
        <v>185.01</v>
      </c>
      <c r="O187" s="6">
        <v>155.41999999999999</v>
      </c>
      <c r="P187" s="4">
        <f t="shared" si="18"/>
        <v>132.14999999999998</v>
      </c>
    </row>
    <row r="188" spans="1:16" x14ac:dyDescent="0.2">
      <c r="A188" s="2" t="s">
        <v>407</v>
      </c>
      <c r="B188" s="2" t="s">
        <v>408</v>
      </c>
      <c r="C188" s="3" t="s">
        <v>21</v>
      </c>
      <c r="D188" s="4">
        <v>206.05</v>
      </c>
      <c r="E188" s="4">
        <v>212.1</v>
      </c>
      <c r="F188" s="4">
        <v>212.1</v>
      </c>
      <c r="G188" s="4">
        <v>212.1</v>
      </c>
      <c r="H188" s="5">
        <v>209.9</v>
      </c>
      <c r="I188" s="4">
        <v>234.64</v>
      </c>
      <c r="J188" s="4">
        <v>210.78</v>
      </c>
      <c r="K188" s="4">
        <f t="shared" si="16"/>
        <v>212.1</v>
      </c>
      <c r="L188" s="4">
        <v>210.78</v>
      </c>
      <c r="M188" s="4">
        <f t="shared" si="13"/>
        <v>222.70500000000001</v>
      </c>
      <c r="N188" s="4">
        <f t="shared" si="17"/>
        <v>222.70500000000001</v>
      </c>
      <c r="O188" s="6">
        <v>206.13</v>
      </c>
      <c r="P188" s="4">
        <f t="shared" si="18"/>
        <v>159.07499999999999</v>
      </c>
    </row>
    <row r="189" spans="1:16" x14ac:dyDescent="0.2">
      <c r="A189" s="2" t="s">
        <v>409</v>
      </c>
      <c r="B189" s="2" t="s">
        <v>410</v>
      </c>
      <c r="C189" s="3" t="s">
        <v>18</v>
      </c>
      <c r="D189" s="4">
        <v>81.209999999999994</v>
      </c>
      <c r="E189" s="4">
        <v>83.58</v>
      </c>
      <c r="F189" s="4">
        <v>83.58</v>
      </c>
      <c r="G189" s="4">
        <v>83.58</v>
      </c>
      <c r="H189" s="5">
        <v>87.27</v>
      </c>
      <c r="I189" s="4">
        <v>93.84</v>
      </c>
      <c r="J189" s="4">
        <v>84.3</v>
      </c>
      <c r="K189" s="4">
        <f t="shared" si="16"/>
        <v>83.58</v>
      </c>
      <c r="L189" s="4">
        <v>84.3</v>
      </c>
      <c r="M189" s="4">
        <f t="shared" si="13"/>
        <v>87.759</v>
      </c>
      <c r="N189" s="4">
        <f t="shared" si="17"/>
        <v>87.759</v>
      </c>
      <c r="O189" s="6">
        <v>82.86</v>
      </c>
      <c r="P189" s="4">
        <f t="shared" si="18"/>
        <v>62.685000000000002</v>
      </c>
    </row>
    <row r="190" spans="1:16" x14ac:dyDescent="0.2">
      <c r="A190" s="2" t="s">
        <v>411</v>
      </c>
      <c r="B190" s="2" t="s">
        <v>412</v>
      </c>
      <c r="C190" s="3" t="s">
        <v>24</v>
      </c>
      <c r="D190" s="4">
        <v>177.38</v>
      </c>
      <c r="E190" s="4">
        <v>187.17</v>
      </c>
      <c r="F190" s="4">
        <v>187.17</v>
      </c>
      <c r="G190" s="4">
        <v>187.17</v>
      </c>
      <c r="H190" s="5">
        <v>183.8</v>
      </c>
      <c r="I190" s="4">
        <v>208.07</v>
      </c>
      <c r="J190" s="4">
        <v>186.91</v>
      </c>
      <c r="K190" s="4">
        <f t="shared" si="16"/>
        <v>187.17</v>
      </c>
      <c r="L190" s="4">
        <v>186.91</v>
      </c>
      <c r="M190" s="4">
        <f t="shared" si="13"/>
        <v>196.52850000000001</v>
      </c>
      <c r="N190" s="4">
        <f t="shared" si="17"/>
        <v>196.52850000000001</v>
      </c>
      <c r="O190" s="6">
        <v>183.41</v>
      </c>
      <c r="P190" s="4">
        <f t="shared" si="18"/>
        <v>140.3775</v>
      </c>
    </row>
    <row r="191" spans="1:16" x14ac:dyDescent="0.2">
      <c r="A191" s="2" t="s">
        <v>413</v>
      </c>
      <c r="B191" s="2" t="s">
        <v>414</v>
      </c>
      <c r="C191" s="3" t="s">
        <v>415</v>
      </c>
      <c r="D191" s="4">
        <v>30.82</v>
      </c>
      <c r="E191" s="4">
        <v>32.67</v>
      </c>
      <c r="F191" s="4">
        <v>32.67</v>
      </c>
      <c r="G191" s="4">
        <v>32.67</v>
      </c>
      <c r="H191" s="5">
        <v>31.2</v>
      </c>
      <c r="I191" s="4">
        <v>32.74</v>
      </c>
      <c r="J191" s="4">
        <v>32.74</v>
      </c>
      <c r="K191" s="4">
        <f>E191</f>
        <v>32.67</v>
      </c>
      <c r="L191" s="4">
        <v>32.74</v>
      </c>
      <c r="M191" s="4">
        <f t="shared" si="13"/>
        <v>34.303500000000007</v>
      </c>
      <c r="N191" s="4">
        <f t="shared" si="17"/>
        <v>34.303500000000007</v>
      </c>
      <c r="O191" s="7" t="s">
        <v>32</v>
      </c>
      <c r="P191" s="4">
        <f t="shared" si="18"/>
        <v>24.502500000000001</v>
      </c>
    </row>
    <row r="192" spans="1:16" x14ac:dyDescent="0.2">
      <c r="A192" s="2" t="s">
        <v>416</v>
      </c>
      <c r="B192" s="2" t="s">
        <v>417</v>
      </c>
      <c r="C192" s="3" t="s">
        <v>48</v>
      </c>
      <c r="D192" s="4">
        <v>4.42</v>
      </c>
      <c r="E192" s="4">
        <v>2.68</v>
      </c>
      <c r="F192" s="4">
        <v>2.68</v>
      </c>
      <c r="G192" s="4">
        <v>2.68</v>
      </c>
      <c r="H192" s="5">
        <v>1.2</v>
      </c>
      <c r="I192" s="4">
        <v>2.87</v>
      </c>
      <c r="J192" s="4">
        <v>2.58</v>
      </c>
      <c r="K192" s="4">
        <f t="shared" ref="K192:K237" si="19">E192</f>
        <v>2.68</v>
      </c>
      <c r="L192" s="4">
        <v>2.58</v>
      </c>
      <c r="M192" s="4">
        <f t="shared" si="13"/>
        <v>2.8140000000000005</v>
      </c>
      <c r="N192" s="4">
        <f t="shared" si="17"/>
        <v>2.8140000000000005</v>
      </c>
      <c r="O192" s="6">
        <v>3.37</v>
      </c>
      <c r="P192" s="4">
        <f t="shared" si="18"/>
        <v>2.0100000000000002</v>
      </c>
    </row>
    <row r="193" spans="1:16" x14ac:dyDescent="0.2">
      <c r="A193" s="2" t="s">
        <v>418</v>
      </c>
      <c r="B193" s="2" t="s">
        <v>419</v>
      </c>
      <c r="C193" s="3" t="s">
        <v>51</v>
      </c>
      <c r="D193" s="4">
        <v>0.08</v>
      </c>
      <c r="E193" s="4">
        <v>0.08</v>
      </c>
      <c r="F193" s="4">
        <v>0.08</v>
      </c>
      <c r="G193" s="4">
        <v>0.08</v>
      </c>
      <c r="H193" s="5">
        <v>0.04</v>
      </c>
      <c r="I193" s="4">
        <v>2.63</v>
      </c>
      <c r="J193" s="4">
        <v>0.05</v>
      </c>
      <c r="K193" s="4">
        <f t="shared" si="19"/>
        <v>0.08</v>
      </c>
      <c r="L193" s="4">
        <v>0.05</v>
      </c>
      <c r="M193" s="4">
        <f t="shared" si="13"/>
        <v>8.4000000000000005E-2</v>
      </c>
      <c r="N193" s="4">
        <f t="shared" si="17"/>
        <v>8.4000000000000005E-2</v>
      </c>
      <c r="O193" s="6">
        <v>0.09</v>
      </c>
      <c r="P193" s="4">
        <f t="shared" si="18"/>
        <v>0.06</v>
      </c>
    </row>
    <row r="194" spans="1:16" x14ac:dyDescent="0.2">
      <c r="A194" s="2" t="s">
        <v>420</v>
      </c>
      <c r="B194" s="2" t="s">
        <v>421</v>
      </c>
      <c r="C194" s="3" t="s">
        <v>24</v>
      </c>
      <c r="D194" s="4">
        <v>11.38</v>
      </c>
      <c r="E194" s="4">
        <v>6.02</v>
      </c>
      <c r="F194" s="4">
        <v>6.02</v>
      </c>
      <c r="G194" s="4">
        <v>6.02</v>
      </c>
      <c r="H194" s="5">
        <v>14.72</v>
      </c>
      <c r="I194" s="4">
        <v>9.11</v>
      </c>
      <c r="J194" s="4">
        <v>8.18</v>
      </c>
      <c r="K194" s="4">
        <f t="shared" si="19"/>
        <v>6.02</v>
      </c>
      <c r="L194" s="4">
        <v>8.18</v>
      </c>
      <c r="M194" s="4">
        <f t="shared" si="13"/>
        <v>6.3209999999999997</v>
      </c>
      <c r="N194" s="4">
        <f t="shared" si="17"/>
        <v>6.3209999999999997</v>
      </c>
      <c r="O194" s="6">
        <v>12.12</v>
      </c>
      <c r="P194" s="4">
        <f t="shared" si="18"/>
        <v>4.5149999999999997</v>
      </c>
    </row>
    <row r="195" spans="1:16" x14ac:dyDescent="0.2">
      <c r="A195" s="2" t="s">
        <v>420</v>
      </c>
      <c r="B195" s="2" t="s">
        <v>422</v>
      </c>
      <c r="C195" s="3" t="s">
        <v>24</v>
      </c>
      <c r="D195" s="4">
        <v>5.68</v>
      </c>
      <c r="E195" s="4">
        <v>6.02</v>
      </c>
      <c r="F195" s="4">
        <v>6.02</v>
      </c>
      <c r="G195" s="4">
        <v>6.02</v>
      </c>
      <c r="H195" s="5">
        <v>14.72</v>
      </c>
      <c r="I195" s="4">
        <v>9.11</v>
      </c>
      <c r="J195" s="4">
        <v>8.18</v>
      </c>
      <c r="K195" s="4">
        <f t="shared" si="19"/>
        <v>6.02</v>
      </c>
      <c r="L195" s="4">
        <v>8.18</v>
      </c>
      <c r="M195" s="4">
        <f t="shared" si="13"/>
        <v>6.3209999999999997</v>
      </c>
      <c r="N195" s="4">
        <f t="shared" si="17"/>
        <v>6.3209999999999997</v>
      </c>
      <c r="O195" s="6">
        <v>12.12</v>
      </c>
      <c r="P195" s="4">
        <f t="shared" si="18"/>
        <v>4.5149999999999997</v>
      </c>
    </row>
    <row r="196" spans="1:16" x14ac:dyDescent="0.2">
      <c r="A196" s="2" t="s">
        <v>423</v>
      </c>
      <c r="B196" s="2" t="s">
        <v>424</v>
      </c>
      <c r="C196" s="3" t="s">
        <v>24</v>
      </c>
      <c r="D196" s="4">
        <v>0.1</v>
      </c>
      <c r="E196" s="4">
        <v>0.15</v>
      </c>
      <c r="F196" s="4">
        <v>0.15</v>
      </c>
      <c r="G196" s="4">
        <v>0.15</v>
      </c>
      <c r="H196" s="5">
        <v>0.23</v>
      </c>
      <c r="I196" s="4">
        <v>1.26</v>
      </c>
      <c r="J196" s="4">
        <v>0.1</v>
      </c>
      <c r="K196" s="4">
        <f t="shared" si="19"/>
        <v>0.15</v>
      </c>
      <c r="L196" s="4">
        <v>0.1</v>
      </c>
      <c r="M196" s="4">
        <f t="shared" si="13"/>
        <v>0.1575</v>
      </c>
      <c r="N196" s="4">
        <f t="shared" si="17"/>
        <v>0.1575</v>
      </c>
      <c r="O196" s="6">
        <v>0.11</v>
      </c>
      <c r="P196" s="4">
        <f t="shared" si="18"/>
        <v>0.11249999999999999</v>
      </c>
    </row>
    <row r="197" spans="1:16" x14ac:dyDescent="0.2">
      <c r="A197" s="2" t="s">
        <v>425</v>
      </c>
      <c r="B197" s="2" t="s">
        <v>426</v>
      </c>
      <c r="C197" s="3" t="s">
        <v>18</v>
      </c>
      <c r="D197" s="4">
        <v>3146.22</v>
      </c>
      <c r="E197" s="4">
        <v>2626.33</v>
      </c>
      <c r="F197" s="4">
        <v>2626.33</v>
      </c>
      <c r="G197" s="4">
        <v>2626.33</v>
      </c>
      <c r="H197" s="5">
        <v>3055.31</v>
      </c>
      <c r="I197" s="4">
        <v>2824.33</v>
      </c>
      <c r="J197" s="4">
        <v>2537.1</v>
      </c>
      <c r="K197" s="4">
        <f t="shared" si="19"/>
        <v>2626.33</v>
      </c>
      <c r="L197" s="4">
        <v>2537.1</v>
      </c>
      <c r="M197" s="4">
        <f t="shared" si="13"/>
        <v>2757.6464999999998</v>
      </c>
      <c r="N197" s="4">
        <f t="shared" si="17"/>
        <v>2757.6464999999998</v>
      </c>
      <c r="O197" s="6">
        <v>2543.89</v>
      </c>
      <c r="P197" s="4">
        <f t="shared" si="18"/>
        <v>1969.7474999999999</v>
      </c>
    </row>
    <row r="198" spans="1:16" x14ac:dyDescent="0.2">
      <c r="A198" s="2" t="s">
        <v>427</v>
      </c>
      <c r="B198" s="2" t="s">
        <v>428</v>
      </c>
      <c r="C198" s="3" t="s">
        <v>24</v>
      </c>
      <c r="D198" s="4">
        <v>59.19</v>
      </c>
      <c r="E198" s="4">
        <v>61.25</v>
      </c>
      <c r="F198" s="4">
        <v>61.25</v>
      </c>
      <c r="G198" s="4">
        <v>61.25</v>
      </c>
      <c r="H198" s="5">
        <v>61.06</v>
      </c>
      <c r="I198" s="4">
        <v>66.489999999999995</v>
      </c>
      <c r="J198" s="4">
        <v>59.73</v>
      </c>
      <c r="K198" s="4">
        <f t="shared" si="19"/>
        <v>61.25</v>
      </c>
      <c r="L198" s="4">
        <v>59.73</v>
      </c>
      <c r="M198" s="4">
        <f t="shared" si="13"/>
        <v>64.3125</v>
      </c>
      <c r="N198" s="4">
        <f t="shared" si="17"/>
        <v>64.3125</v>
      </c>
      <c r="O198" s="6">
        <v>58.56</v>
      </c>
      <c r="P198" s="4">
        <f t="shared" si="18"/>
        <v>45.9375</v>
      </c>
    </row>
    <row r="199" spans="1:16" x14ac:dyDescent="0.2">
      <c r="A199" s="2" t="s">
        <v>429</v>
      </c>
      <c r="B199" s="2" t="s">
        <v>430</v>
      </c>
      <c r="C199" s="3" t="s">
        <v>18</v>
      </c>
      <c r="D199" s="4">
        <v>240.51</v>
      </c>
      <c r="E199" s="4">
        <v>247.08</v>
      </c>
      <c r="F199" s="4">
        <v>247.08</v>
      </c>
      <c r="G199" s="4">
        <v>247.08</v>
      </c>
      <c r="H199" s="5">
        <v>244.2</v>
      </c>
      <c r="I199" s="4">
        <v>275.45</v>
      </c>
      <c r="J199" s="4">
        <v>247.44</v>
      </c>
      <c r="K199" s="4">
        <f t="shared" si="19"/>
        <v>247.08</v>
      </c>
      <c r="L199" s="4">
        <v>247.44</v>
      </c>
      <c r="M199" s="4">
        <f t="shared" si="13"/>
        <v>259.43400000000003</v>
      </c>
      <c r="N199" s="4">
        <f t="shared" si="17"/>
        <v>259.43400000000003</v>
      </c>
      <c r="O199" s="6">
        <v>243.82</v>
      </c>
      <c r="P199" s="4">
        <f t="shared" si="18"/>
        <v>185.31</v>
      </c>
    </row>
    <row r="200" spans="1:16" x14ac:dyDescent="0.2">
      <c r="A200" s="2" t="s">
        <v>431</v>
      </c>
      <c r="B200" s="2" t="s">
        <v>432</v>
      </c>
      <c r="C200" s="3" t="s">
        <v>24</v>
      </c>
      <c r="D200" s="4">
        <v>185.02</v>
      </c>
      <c r="E200" s="4">
        <v>196.12</v>
      </c>
      <c r="F200" s="4">
        <v>196.12</v>
      </c>
      <c r="G200" s="4">
        <v>196.12</v>
      </c>
      <c r="H200" s="5">
        <v>184.35</v>
      </c>
      <c r="I200" s="4">
        <v>218.27</v>
      </c>
      <c r="J200" s="4">
        <v>196.07</v>
      </c>
      <c r="K200" s="4">
        <f t="shared" si="19"/>
        <v>196.12</v>
      </c>
      <c r="L200" s="4">
        <v>196.07</v>
      </c>
      <c r="M200" s="4">
        <f t="shared" si="13"/>
        <v>205.92600000000002</v>
      </c>
      <c r="N200" s="4">
        <f t="shared" si="17"/>
        <v>205.92600000000002</v>
      </c>
      <c r="O200" s="6">
        <v>188.65</v>
      </c>
      <c r="P200" s="4">
        <f t="shared" si="18"/>
        <v>147.09</v>
      </c>
    </row>
    <row r="201" spans="1:16" x14ac:dyDescent="0.2">
      <c r="A201" s="2" t="s">
        <v>433</v>
      </c>
      <c r="B201" s="2" t="s">
        <v>434</v>
      </c>
      <c r="C201" s="3" t="s">
        <v>63</v>
      </c>
      <c r="D201" s="4">
        <v>215.1</v>
      </c>
      <c r="E201" s="4">
        <v>222.49</v>
      </c>
      <c r="F201" s="4">
        <v>222.49</v>
      </c>
      <c r="G201" s="4">
        <v>222.49</v>
      </c>
      <c r="H201" s="5">
        <v>212.02</v>
      </c>
      <c r="I201" s="4">
        <v>247.37</v>
      </c>
      <c r="J201" s="4">
        <v>222.21</v>
      </c>
      <c r="K201" s="4">
        <f t="shared" si="19"/>
        <v>222.49</v>
      </c>
      <c r="L201" s="4">
        <v>222.21</v>
      </c>
      <c r="M201" s="4">
        <f t="shared" si="13"/>
        <v>233.61450000000002</v>
      </c>
      <c r="N201" s="4">
        <f t="shared" si="17"/>
        <v>233.61450000000002</v>
      </c>
      <c r="O201" s="6">
        <v>217.09</v>
      </c>
      <c r="P201" s="4">
        <f t="shared" si="18"/>
        <v>166.86750000000001</v>
      </c>
    </row>
    <row r="202" spans="1:16" x14ac:dyDescent="0.2">
      <c r="A202" s="2" t="s">
        <v>435</v>
      </c>
      <c r="B202" s="2" t="s">
        <v>436</v>
      </c>
      <c r="C202" s="3" t="s">
        <v>91</v>
      </c>
      <c r="D202" s="4">
        <v>24.16</v>
      </c>
      <c r="E202" s="4">
        <v>25</v>
      </c>
      <c r="F202" s="4">
        <v>25</v>
      </c>
      <c r="G202" s="4">
        <v>25</v>
      </c>
      <c r="H202" s="5">
        <v>24.53</v>
      </c>
      <c r="I202" s="4">
        <v>27.83</v>
      </c>
      <c r="J202" s="4">
        <v>25</v>
      </c>
      <c r="K202" s="4">
        <f t="shared" si="19"/>
        <v>25</v>
      </c>
      <c r="L202" s="4">
        <v>25</v>
      </c>
      <c r="M202" s="4">
        <f t="shared" si="13"/>
        <v>26.25</v>
      </c>
      <c r="N202" s="4">
        <f t="shared" si="17"/>
        <v>26.25</v>
      </c>
      <c r="O202" s="6">
        <v>25.08</v>
      </c>
      <c r="P202" s="4">
        <f t="shared" si="18"/>
        <v>18.75</v>
      </c>
    </row>
    <row r="203" spans="1:16" x14ac:dyDescent="0.2">
      <c r="A203" s="8" t="s">
        <v>437</v>
      </c>
      <c r="B203" s="8" t="s">
        <v>438</v>
      </c>
      <c r="C203" s="3" t="s">
        <v>24</v>
      </c>
      <c r="D203" s="4">
        <v>30.2</v>
      </c>
      <c r="E203" s="4">
        <v>32.130000000000003</v>
      </c>
      <c r="F203" s="4">
        <v>32.130000000000003</v>
      </c>
      <c r="G203" s="4">
        <v>32.130000000000003</v>
      </c>
      <c r="H203" s="5">
        <v>31.07</v>
      </c>
      <c r="I203" s="4" t="e">
        <f>#REF!*0.4</f>
        <v>#REF!</v>
      </c>
      <c r="J203" s="4">
        <v>31.69</v>
      </c>
      <c r="K203" s="4">
        <f t="shared" si="19"/>
        <v>32.130000000000003</v>
      </c>
      <c r="L203" s="4">
        <v>31.69</v>
      </c>
      <c r="M203" s="4">
        <f t="shared" si="13"/>
        <v>33.736500000000007</v>
      </c>
      <c r="N203" s="4">
        <f t="shared" si="17"/>
        <v>33.736500000000007</v>
      </c>
      <c r="O203" s="7" t="s">
        <v>32</v>
      </c>
      <c r="P203" s="4">
        <f t="shared" si="18"/>
        <v>24.097500000000004</v>
      </c>
    </row>
    <row r="204" spans="1:16" x14ac:dyDescent="0.2">
      <c r="A204" s="8" t="s">
        <v>437</v>
      </c>
      <c r="B204" s="8" t="s">
        <v>439</v>
      </c>
      <c r="C204" s="3" t="s">
        <v>24</v>
      </c>
      <c r="D204" s="4">
        <v>30.2</v>
      </c>
      <c r="E204" s="4">
        <v>32.130000000000003</v>
      </c>
      <c r="F204" s="4">
        <v>32.130000000000003</v>
      </c>
      <c r="G204" s="4">
        <v>32.130000000000003</v>
      </c>
      <c r="H204" s="5">
        <v>31.07</v>
      </c>
      <c r="I204" s="4" t="e">
        <f>#REF!*0.4</f>
        <v>#REF!</v>
      </c>
      <c r="J204" s="4">
        <v>31.69</v>
      </c>
      <c r="K204" s="4">
        <f t="shared" si="19"/>
        <v>32.130000000000003</v>
      </c>
      <c r="L204" s="4">
        <v>31.69</v>
      </c>
      <c r="M204" s="4">
        <f t="shared" si="13"/>
        <v>33.736500000000007</v>
      </c>
      <c r="N204" s="4">
        <f t="shared" si="17"/>
        <v>33.736500000000007</v>
      </c>
      <c r="O204" s="7" t="s">
        <v>32</v>
      </c>
      <c r="P204" s="4">
        <f t="shared" si="18"/>
        <v>24.097500000000004</v>
      </c>
    </row>
    <row r="205" spans="1:16" x14ac:dyDescent="0.2">
      <c r="A205" s="8" t="s">
        <v>440</v>
      </c>
      <c r="B205" s="8" t="s">
        <v>441</v>
      </c>
      <c r="C205" s="3" t="s">
        <v>24</v>
      </c>
      <c r="D205" s="4">
        <v>4.99</v>
      </c>
      <c r="E205" s="4">
        <v>5.24</v>
      </c>
      <c r="F205" s="4">
        <v>5.24</v>
      </c>
      <c r="G205" s="4">
        <v>5.24</v>
      </c>
      <c r="H205" s="5">
        <v>5</v>
      </c>
      <c r="I205" s="4" t="e">
        <f>#REF!*0.4</f>
        <v>#REF!</v>
      </c>
      <c r="J205" s="4">
        <v>5.0999999999999996</v>
      </c>
      <c r="K205" s="4">
        <f t="shared" si="19"/>
        <v>5.24</v>
      </c>
      <c r="L205" s="4">
        <v>5.0999999999999996</v>
      </c>
      <c r="M205" s="4">
        <f t="shared" si="13"/>
        <v>5.5020000000000007</v>
      </c>
      <c r="N205" s="4">
        <f t="shared" si="17"/>
        <v>5.5020000000000007</v>
      </c>
      <c r="O205" s="7" t="s">
        <v>32</v>
      </c>
      <c r="P205" s="4">
        <f t="shared" si="18"/>
        <v>3.93</v>
      </c>
    </row>
    <row r="206" spans="1:16" x14ac:dyDescent="0.2">
      <c r="A206" s="2" t="s">
        <v>442</v>
      </c>
      <c r="B206" s="2" t="s">
        <v>443</v>
      </c>
      <c r="C206" s="3" t="s">
        <v>225</v>
      </c>
      <c r="D206" s="4">
        <v>39.979999999999997</v>
      </c>
      <c r="E206" s="4">
        <v>28.46</v>
      </c>
      <c r="F206" s="4">
        <v>28.46</v>
      </c>
      <c r="G206" s="4">
        <v>28.46</v>
      </c>
      <c r="H206" s="5">
        <v>28.47</v>
      </c>
      <c r="I206" s="4">
        <v>29.05</v>
      </c>
      <c r="J206" s="4">
        <v>26.1</v>
      </c>
      <c r="K206" s="4">
        <f t="shared" si="19"/>
        <v>28.46</v>
      </c>
      <c r="L206" s="4">
        <v>26.1</v>
      </c>
      <c r="M206" s="4">
        <f t="shared" si="13"/>
        <v>29.883000000000003</v>
      </c>
      <c r="N206" s="4">
        <f t="shared" si="17"/>
        <v>29.883000000000003</v>
      </c>
      <c r="O206" s="6">
        <v>28.27</v>
      </c>
      <c r="P206" s="4">
        <f t="shared" si="18"/>
        <v>21.344999999999999</v>
      </c>
    </row>
    <row r="207" spans="1:16" x14ac:dyDescent="0.2">
      <c r="A207" s="2" t="s">
        <v>444</v>
      </c>
      <c r="B207" s="2" t="s">
        <v>445</v>
      </c>
      <c r="C207" s="3" t="s">
        <v>446</v>
      </c>
      <c r="D207" s="4">
        <v>2748.22</v>
      </c>
      <c r="E207" s="4">
        <v>2840.68</v>
      </c>
      <c r="F207" s="4">
        <v>2840.68</v>
      </c>
      <c r="G207" s="4">
        <v>2840.68</v>
      </c>
      <c r="H207" s="5">
        <v>2724.14</v>
      </c>
      <c r="I207" s="4">
        <v>3165.51</v>
      </c>
      <c r="J207" s="4">
        <v>2843.59</v>
      </c>
      <c r="K207" s="4">
        <f t="shared" si="19"/>
        <v>2840.68</v>
      </c>
      <c r="L207" s="4">
        <v>2483.59</v>
      </c>
      <c r="M207" s="4">
        <f t="shared" si="13"/>
        <v>2982.7139999999999</v>
      </c>
      <c r="N207" s="4">
        <f t="shared" si="17"/>
        <v>2982.7139999999999</v>
      </c>
      <c r="O207" s="6">
        <v>2770.57</v>
      </c>
      <c r="P207" s="4">
        <f t="shared" si="18"/>
        <v>2130.5099999999998</v>
      </c>
    </row>
    <row r="208" spans="1:16" x14ac:dyDescent="0.2">
      <c r="A208" s="2" t="s">
        <v>447</v>
      </c>
      <c r="B208" s="2" t="s">
        <v>448</v>
      </c>
      <c r="C208" s="3" t="s">
        <v>91</v>
      </c>
      <c r="D208" s="4">
        <v>26.68</v>
      </c>
      <c r="E208" s="4">
        <v>27.73</v>
      </c>
      <c r="F208" s="4">
        <v>27.73</v>
      </c>
      <c r="G208" s="4">
        <v>27.73</v>
      </c>
      <c r="H208" s="5">
        <v>26.87</v>
      </c>
      <c r="I208" s="4">
        <v>30.95</v>
      </c>
      <c r="J208" s="4">
        <v>27.8</v>
      </c>
      <c r="K208" s="4">
        <f t="shared" si="19"/>
        <v>27.73</v>
      </c>
      <c r="L208" s="4">
        <v>27.8</v>
      </c>
      <c r="M208" s="4">
        <f t="shared" si="13"/>
        <v>29.116500000000002</v>
      </c>
      <c r="N208" s="4">
        <f t="shared" si="17"/>
        <v>29.116500000000002</v>
      </c>
      <c r="O208" s="6">
        <v>31.77</v>
      </c>
      <c r="P208" s="4">
        <f t="shared" si="18"/>
        <v>20.797499999999999</v>
      </c>
    </row>
    <row r="209" spans="1:16" x14ac:dyDescent="0.2">
      <c r="A209" s="2" t="s">
        <v>449</v>
      </c>
      <c r="B209" s="2" t="s">
        <v>450</v>
      </c>
      <c r="C209" s="3" t="s">
        <v>18</v>
      </c>
      <c r="D209" s="4">
        <v>76.22</v>
      </c>
      <c r="E209" s="4">
        <v>82.02</v>
      </c>
      <c r="F209" s="4">
        <v>82.02</v>
      </c>
      <c r="G209" s="4">
        <v>82.02</v>
      </c>
      <c r="H209" s="5">
        <v>83.4</v>
      </c>
      <c r="I209" s="4">
        <v>90.43</v>
      </c>
      <c r="J209" s="4">
        <v>81.23</v>
      </c>
      <c r="K209" s="4">
        <f t="shared" si="19"/>
        <v>82.02</v>
      </c>
      <c r="L209" s="4">
        <v>81.23</v>
      </c>
      <c r="M209" s="4">
        <f t="shared" si="13"/>
        <v>86.120999999999995</v>
      </c>
      <c r="N209" s="4">
        <f t="shared" si="17"/>
        <v>86.120999999999995</v>
      </c>
      <c r="O209" s="6">
        <v>94.8</v>
      </c>
      <c r="P209" s="4">
        <f t="shared" si="18"/>
        <v>61.515000000000001</v>
      </c>
    </row>
    <row r="210" spans="1:16" x14ac:dyDescent="0.2">
      <c r="A210" s="2" t="s">
        <v>451</v>
      </c>
      <c r="B210" s="2" t="s">
        <v>452</v>
      </c>
      <c r="C210" s="3" t="s">
        <v>225</v>
      </c>
      <c r="D210" s="4">
        <v>28</v>
      </c>
      <c r="E210" s="4">
        <v>38.61</v>
      </c>
      <c r="F210" s="4">
        <v>38.61</v>
      </c>
      <c r="G210" s="4">
        <v>38.61</v>
      </c>
      <c r="H210" s="5">
        <v>29.82</v>
      </c>
      <c r="I210" s="4">
        <v>34.380000000000003</v>
      </c>
      <c r="J210" s="4">
        <v>30.88</v>
      </c>
      <c r="K210" s="4">
        <f t="shared" si="19"/>
        <v>38.61</v>
      </c>
      <c r="L210" s="4">
        <v>30.88</v>
      </c>
      <c r="M210" s="4">
        <f t="shared" si="13"/>
        <v>40.540500000000002</v>
      </c>
      <c r="N210" s="4">
        <f t="shared" si="17"/>
        <v>40.540500000000002</v>
      </c>
      <c r="O210" s="6">
        <v>60.82</v>
      </c>
      <c r="P210" s="4">
        <f t="shared" si="18"/>
        <v>28.9575</v>
      </c>
    </row>
    <row r="211" spans="1:16" x14ac:dyDescent="0.2">
      <c r="A211" s="11" t="s">
        <v>453</v>
      </c>
      <c r="B211" s="11" t="s">
        <v>454</v>
      </c>
      <c r="C211" s="3" t="s">
        <v>18</v>
      </c>
      <c r="D211" s="9" t="s">
        <v>35</v>
      </c>
      <c r="E211" s="4">
        <v>5.2</v>
      </c>
      <c r="F211" s="4">
        <v>5.2</v>
      </c>
      <c r="G211" s="4">
        <v>5.2</v>
      </c>
      <c r="H211" s="5">
        <v>9.5</v>
      </c>
      <c r="I211" s="4">
        <v>4.66</v>
      </c>
      <c r="J211" s="4">
        <v>4.1900000000000004</v>
      </c>
      <c r="K211" s="4">
        <f t="shared" si="19"/>
        <v>5.2</v>
      </c>
      <c r="L211" s="4">
        <v>4.1900000000000004</v>
      </c>
      <c r="M211" s="4">
        <f t="shared" si="13"/>
        <v>5.4600000000000009</v>
      </c>
      <c r="N211" s="4">
        <f t="shared" si="17"/>
        <v>5.4600000000000009</v>
      </c>
      <c r="O211" s="6">
        <v>4.93</v>
      </c>
      <c r="P211" s="4">
        <f t="shared" si="18"/>
        <v>3.9000000000000004</v>
      </c>
    </row>
    <row r="212" spans="1:16" x14ac:dyDescent="0.2">
      <c r="A212" s="11" t="s">
        <v>455</v>
      </c>
      <c r="B212" s="11" t="s">
        <v>456</v>
      </c>
      <c r="C212" s="3" t="s">
        <v>18</v>
      </c>
      <c r="D212" s="9" t="s">
        <v>35</v>
      </c>
      <c r="E212" s="4">
        <v>9.66</v>
      </c>
      <c r="F212" s="4">
        <v>9.66</v>
      </c>
      <c r="G212" s="4">
        <v>9.66</v>
      </c>
      <c r="H212" s="5">
        <v>9.6199999999999992</v>
      </c>
      <c r="I212" s="4">
        <v>10.84</v>
      </c>
      <c r="J212" s="4">
        <v>9.74</v>
      </c>
      <c r="K212" s="4">
        <f t="shared" si="19"/>
        <v>9.66</v>
      </c>
      <c r="L212" s="4">
        <v>9.74</v>
      </c>
      <c r="M212" s="4">
        <f t="shared" si="13"/>
        <v>10.143000000000001</v>
      </c>
      <c r="N212" s="4">
        <f t="shared" si="17"/>
        <v>10.143000000000001</v>
      </c>
      <c r="O212" s="6">
        <v>9.74</v>
      </c>
      <c r="P212" s="4">
        <f t="shared" si="18"/>
        <v>7.2450000000000001</v>
      </c>
    </row>
    <row r="213" spans="1:16" x14ac:dyDescent="0.2">
      <c r="A213" s="19" t="s">
        <v>457</v>
      </c>
      <c r="B213" s="19" t="s">
        <v>458</v>
      </c>
      <c r="C213" s="3" t="s">
        <v>18</v>
      </c>
      <c r="D213" s="6">
        <v>5.99</v>
      </c>
      <c r="E213" s="6">
        <v>1.46</v>
      </c>
      <c r="F213" s="6">
        <v>1.46</v>
      </c>
      <c r="G213" s="6">
        <v>1.46</v>
      </c>
      <c r="H213" s="5">
        <v>9.61</v>
      </c>
      <c r="I213" s="6">
        <v>1.66</v>
      </c>
      <c r="J213" s="6">
        <v>1.49</v>
      </c>
      <c r="K213" s="4">
        <f t="shared" si="19"/>
        <v>1.46</v>
      </c>
      <c r="L213" s="10">
        <v>1.49</v>
      </c>
      <c r="M213" s="4">
        <f t="shared" si="13"/>
        <v>1.5329999999999999</v>
      </c>
      <c r="N213" s="4">
        <f t="shared" si="17"/>
        <v>1.5329999999999999</v>
      </c>
      <c r="O213" s="10">
        <v>1.21</v>
      </c>
      <c r="P213" s="4">
        <f t="shared" si="18"/>
        <v>1.095</v>
      </c>
    </row>
    <row r="214" spans="1:16" x14ac:dyDescent="0.2">
      <c r="A214" s="19" t="s">
        <v>459</v>
      </c>
      <c r="B214" s="19" t="s">
        <v>460</v>
      </c>
      <c r="C214" s="3" t="s">
        <v>461</v>
      </c>
      <c r="D214" s="6">
        <v>193.68</v>
      </c>
      <c r="E214" s="6">
        <v>201.755</v>
      </c>
      <c r="F214" s="6">
        <v>201.755</v>
      </c>
      <c r="G214" s="6">
        <v>201.755</v>
      </c>
      <c r="H214" s="5">
        <v>195.66</v>
      </c>
      <c r="I214" s="6">
        <v>224.48</v>
      </c>
      <c r="J214" s="6">
        <v>201.65</v>
      </c>
      <c r="K214" s="4">
        <f t="shared" si="19"/>
        <v>201.755</v>
      </c>
      <c r="L214" s="10">
        <v>201.65</v>
      </c>
      <c r="M214" s="4">
        <f t="shared" si="13"/>
        <v>211.84275</v>
      </c>
      <c r="N214" s="4">
        <f t="shared" si="17"/>
        <v>211.84275</v>
      </c>
      <c r="O214" s="10">
        <v>197.65</v>
      </c>
      <c r="P214" s="4">
        <f t="shared" si="18"/>
        <v>151.31625</v>
      </c>
    </row>
    <row r="215" spans="1:16" x14ac:dyDescent="0.2">
      <c r="A215" s="2" t="s">
        <v>462</v>
      </c>
      <c r="B215" s="2" t="s">
        <v>463</v>
      </c>
      <c r="C215" s="3" t="s">
        <v>24</v>
      </c>
      <c r="D215" s="4">
        <v>32.68</v>
      </c>
      <c r="E215" s="4">
        <v>33.619999999999997</v>
      </c>
      <c r="F215" s="4">
        <v>33.619999999999997</v>
      </c>
      <c r="G215" s="4">
        <v>33.619999999999997</v>
      </c>
      <c r="H215" s="5">
        <v>33.590000000000003</v>
      </c>
      <c r="I215" s="4">
        <v>37.369999999999997</v>
      </c>
      <c r="J215" s="4">
        <v>33.57</v>
      </c>
      <c r="K215" s="4">
        <f t="shared" si="19"/>
        <v>33.619999999999997</v>
      </c>
      <c r="L215" s="4">
        <v>33.57</v>
      </c>
      <c r="M215" s="4">
        <f t="shared" si="13"/>
        <v>35.301000000000002</v>
      </c>
      <c r="N215" s="4">
        <f t="shared" si="17"/>
        <v>35.301000000000002</v>
      </c>
      <c r="O215" s="6">
        <v>33</v>
      </c>
      <c r="P215" s="4">
        <f t="shared" si="18"/>
        <v>25.214999999999996</v>
      </c>
    </row>
    <row r="216" spans="1:16" x14ac:dyDescent="0.2">
      <c r="A216" s="2" t="s">
        <v>464</v>
      </c>
      <c r="B216" s="2" t="s">
        <v>465</v>
      </c>
      <c r="C216" s="3" t="s">
        <v>18</v>
      </c>
      <c r="D216" s="4">
        <v>80.02</v>
      </c>
      <c r="E216" s="4">
        <v>81.81</v>
      </c>
      <c r="F216" s="4">
        <v>81.81</v>
      </c>
      <c r="G216" s="4">
        <v>81.81</v>
      </c>
      <c r="H216" s="5">
        <v>85.52</v>
      </c>
      <c r="I216" s="4">
        <v>90.87</v>
      </c>
      <c r="J216" s="4">
        <v>81.63</v>
      </c>
      <c r="K216" s="4">
        <f t="shared" si="19"/>
        <v>81.81</v>
      </c>
      <c r="L216" s="4">
        <v>81.62</v>
      </c>
      <c r="M216" s="4">
        <f t="shared" si="13"/>
        <v>85.900500000000008</v>
      </c>
      <c r="N216" s="4">
        <f t="shared" si="17"/>
        <v>85.900500000000008</v>
      </c>
      <c r="O216" s="6">
        <v>78.459999999999994</v>
      </c>
      <c r="P216" s="4">
        <f t="shared" si="18"/>
        <v>61.357500000000002</v>
      </c>
    </row>
    <row r="217" spans="1:16" x14ac:dyDescent="0.2">
      <c r="A217" s="2" t="s">
        <v>466</v>
      </c>
      <c r="B217" s="2" t="s">
        <v>467</v>
      </c>
      <c r="C217" s="3" t="s">
        <v>18</v>
      </c>
      <c r="D217" s="4">
        <v>169.54</v>
      </c>
      <c r="E217" s="4">
        <v>174.39</v>
      </c>
      <c r="F217" s="4">
        <v>174.39</v>
      </c>
      <c r="G217" s="4">
        <v>174.39</v>
      </c>
      <c r="H217" s="5">
        <v>187.55</v>
      </c>
      <c r="I217" s="4">
        <v>193.33</v>
      </c>
      <c r="J217" s="4">
        <v>173.67</v>
      </c>
      <c r="K217" s="4">
        <f t="shared" si="19"/>
        <v>174.39</v>
      </c>
      <c r="L217" s="4">
        <v>173.67</v>
      </c>
      <c r="M217" s="4">
        <f t="shared" si="13"/>
        <v>183.1095</v>
      </c>
      <c r="N217" s="4">
        <f t="shared" si="17"/>
        <v>183.1095</v>
      </c>
      <c r="O217" s="6">
        <v>172.55</v>
      </c>
      <c r="P217" s="4">
        <f t="shared" si="18"/>
        <v>130.79249999999999</v>
      </c>
    </row>
    <row r="218" spans="1:16" x14ac:dyDescent="0.2">
      <c r="A218" s="2" t="s">
        <v>468</v>
      </c>
      <c r="B218" s="2" t="s">
        <v>469</v>
      </c>
      <c r="C218" s="3" t="s">
        <v>18</v>
      </c>
      <c r="D218" s="4">
        <v>89.05</v>
      </c>
      <c r="E218" s="4">
        <v>7.99</v>
      </c>
      <c r="F218" s="4">
        <v>7.99</v>
      </c>
      <c r="G218" s="4">
        <v>7.99</v>
      </c>
      <c r="H218" s="5">
        <v>92.19</v>
      </c>
      <c r="I218" s="4">
        <v>44.45</v>
      </c>
      <c r="J218" s="4">
        <v>39.93</v>
      </c>
      <c r="K218" s="4">
        <f t="shared" si="19"/>
        <v>7.99</v>
      </c>
      <c r="L218" s="4">
        <v>39.93</v>
      </c>
      <c r="M218" s="4">
        <f t="shared" si="13"/>
        <v>8.3895</v>
      </c>
      <c r="N218" s="4">
        <f t="shared" si="17"/>
        <v>8.3895</v>
      </c>
      <c r="O218" s="6">
        <v>52.74</v>
      </c>
      <c r="P218" s="4">
        <f t="shared" si="18"/>
        <v>5.9924999999999997</v>
      </c>
    </row>
    <row r="219" spans="1:16" x14ac:dyDescent="0.2">
      <c r="A219" s="2" t="s">
        <v>470</v>
      </c>
      <c r="B219" s="2" t="s">
        <v>471</v>
      </c>
      <c r="C219" s="3" t="s">
        <v>18</v>
      </c>
      <c r="D219" s="4">
        <v>80.86</v>
      </c>
      <c r="E219" s="4">
        <v>4.04</v>
      </c>
      <c r="F219" s="4">
        <v>4.04</v>
      </c>
      <c r="G219" s="4">
        <v>4.04</v>
      </c>
      <c r="H219" s="5">
        <v>1.04</v>
      </c>
      <c r="I219" s="4">
        <v>4</v>
      </c>
      <c r="J219" s="4">
        <v>3.59</v>
      </c>
      <c r="K219" s="4">
        <f t="shared" si="19"/>
        <v>4.04</v>
      </c>
      <c r="L219" s="4">
        <v>3.59</v>
      </c>
      <c r="M219" s="4">
        <f t="shared" si="13"/>
        <v>4.242</v>
      </c>
      <c r="N219" s="4">
        <f t="shared" si="17"/>
        <v>4.242</v>
      </c>
      <c r="O219" s="6">
        <v>3.73</v>
      </c>
      <c r="P219" s="4">
        <f t="shared" si="18"/>
        <v>3.0300000000000002</v>
      </c>
    </row>
    <row r="220" spans="1:16" x14ac:dyDescent="0.2">
      <c r="A220" s="2" t="s">
        <v>470</v>
      </c>
      <c r="B220" s="2" t="s">
        <v>472</v>
      </c>
      <c r="C220" s="3" t="s">
        <v>18</v>
      </c>
      <c r="D220" s="4">
        <v>3</v>
      </c>
      <c r="E220" s="4">
        <v>4.04</v>
      </c>
      <c r="F220" s="4">
        <v>4.04</v>
      </c>
      <c r="G220" s="4">
        <v>4.04</v>
      </c>
      <c r="H220" s="5">
        <v>1.04</v>
      </c>
      <c r="I220" s="4">
        <v>4</v>
      </c>
      <c r="J220" s="4">
        <v>3.59</v>
      </c>
      <c r="K220" s="4">
        <f t="shared" si="19"/>
        <v>4.04</v>
      </c>
      <c r="L220" s="4">
        <v>3.59</v>
      </c>
      <c r="M220" s="4">
        <f t="shared" si="13"/>
        <v>4.242</v>
      </c>
      <c r="N220" s="4">
        <f t="shared" si="17"/>
        <v>4.242</v>
      </c>
      <c r="O220" s="6">
        <v>3.73</v>
      </c>
      <c r="P220" s="4">
        <f t="shared" si="18"/>
        <v>3.0300000000000002</v>
      </c>
    </row>
    <row r="221" spans="1:16" x14ac:dyDescent="0.2">
      <c r="A221" s="2" t="s">
        <v>473</v>
      </c>
      <c r="B221" s="2" t="s">
        <v>474</v>
      </c>
      <c r="C221" s="3" t="s">
        <v>24</v>
      </c>
      <c r="D221" s="4">
        <v>16.3</v>
      </c>
      <c r="E221" s="4">
        <v>17.02</v>
      </c>
      <c r="F221" s="4">
        <v>17.02</v>
      </c>
      <c r="G221" s="4">
        <v>17.02</v>
      </c>
      <c r="H221" s="5">
        <v>16.32</v>
      </c>
      <c r="I221" s="4">
        <v>18.940000000000001</v>
      </c>
      <c r="J221" s="4">
        <v>17.010000000000002</v>
      </c>
      <c r="K221" s="4">
        <f t="shared" si="19"/>
        <v>17.02</v>
      </c>
      <c r="L221" s="4">
        <v>17.010000000000002</v>
      </c>
      <c r="M221" s="4">
        <f t="shared" si="13"/>
        <v>17.870999999999999</v>
      </c>
      <c r="N221" s="4">
        <f t="shared" si="17"/>
        <v>17.870999999999999</v>
      </c>
      <c r="O221" s="6">
        <v>16.89</v>
      </c>
      <c r="P221" s="4">
        <f t="shared" si="18"/>
        <v>12.765000000000001</v>
      </c>
    </row>
    <row r="222" spans="1:16" x14ac:dyDescent="0.2">
      <c r="A222" s="2" t="s">
        <v>475</v>
      </c>
      <c r="B222" s="2" t="s">
        <v>476</v>
      </c>
      <c r="C222" s="3" t="s">
        <v>24</v>
      </c>
      <c r="D222" s="4">
        <v>393.1</v>
      </c>
      <c r="E222" s="4">
        <v>392.72</v>
      </c>
      <c r="F222" s="4">
        <v>392.72</v>
      </c>
      <c r="G222" s="4">
        <v>392.72</v>
      </c>
      <c r="H222" s="5">
        <v>257.88</v>
      </c>
      <c r="I222" s="4">
        <v>437.18</v>
      </c>
      <c r="J222" s="4">
        <v>392.72</v>
      </c>
      <c r="K222" s="4">
        <f t="shared" si="19"/>
        <v>392.72</v>
      </c>
      <c r="L222" s="4">
        <v>392.72</v>
      </c>
      <c r="M222" s="4">
        <f t="shared" si="13"/>
        <v>412.35600000000005</v>
      </c>
      <c r="N222" s="4">
        <f t="shared" si="17"/>
        <v>412.35600000000005</v>
      </c>
      <c r="O222" s="6">
        <v>388.83</v>
      </c>
      <c r="P222" s="4">
        <f t="shared" si="18"/>
        <v>294.54000000000002</v>
      </c>
    </row>
    <row r="223" spans="1:16" x14ac:dyDescent="0.2">
      <c r="A223" s="2" t="s">
        <v>475</v>
      </c>
      <c r="B223" s="2" t="s">
        <v>477</v>
      </c>
      <c r="C223" s="3" t="s">
        <v>24</v>
      </c>
      <c r="D223" s="4">
        <v>349.47</v>
      </c>
      <c r="E223" s="4">
        <v>392.72</v>
      </c>
      <c r="F223" s="4">
        <v>392.72</v>
      </c>
      <c r="G223" s="4">
        <v>392.72</v>
      </c>
      <c r="H223" s="5">
        <v>257.88</v>
      </c>
      <c r="I223" s="4">
        <v>437.18</v>
      </c>
      <c r="J223" s="4">
        <v>392.72</v>
      </c>
      <c r="K223" s="4">
        <f t="shared" si="19"/>
        <v>392.72</v>
      </c>
      <c r="L223" s="4">
        <v>392.72</v>
      </c>
      <c r="M223" s="4">
        <f t="shared" si="13"/>
        <v>412.35600000000005</v>
      </c>
      <c r="N223" s="4">
        <f t="shared" si="17"/>
        <v>412.35600000000005</v>
      </c>
      <c r="O223" s="6">
        <v>388.83</v>
      </c>
      <c r="P223" s="4">
        <f t="shared" si="18"/>
        <v>294.54000000000002</v>
      </c>
    </row>
    <row r="224" spans="1:16" x14ac:dyDescent="0.2">
      <c r="A224" s="2" t="s">
        <v>478</v>
      </c>
      <c r="B224" s="2" t="s">
        <v>479</v>
      </c>
      <c r="C224" s="3" t="s">
        <v>225</v>
      </c>
      <c r="D224" s="4">
        <v>69.83</v>
      </c>
      <c r="E224" s="4">
        <v>75.47</v>
      </c>
      <c r="F224" s="4">
        <v>75.47</v>
      </c>
      <c r="G224" s="4">
        <v>75.47</v>
      </c>
      <c r="H224" s="5">
        <v>76.16</v>
      </c>
      <c r="I224" s="4">
        <v>84.14</v>
      </c>
      <c r="J224" s="4">
        <v>75.58</v>
      </c>
      <c r="K224" s="4">
        <f t="shared" si="19"/>
        <v>75.47</v>
      </c>
      <c r="L224" s="4">
        <v>75.58</v>
      </c>
      <c r="M224" s="4">
        <f t="shared" si="13"/>
        <v>79.243499999999997</v>
      </c>
      <c r="N224" s="4">
        <f t="shared" si="17"/>
        <v>79.243499999999997</v>
      </c>
      <c r="O224" s="6">
        <v>74.45</v>
      </c>
      <c r="P224" s="4">
        <f t="shared" si="18"/>
        <v>56.602499999999999</v>
      </c>
    </row>
    <row r="225" spans="1:16" x14ac:dyDescent="0.2">
      <c r="A225" s="2" t="s">
        <v>480</v>
      </c>
      <c r="B225" s="2" t="s">
        <v>481</v>
      </c>
      <c r="C225" s="3" t="s">
        <v>24</v>
      </c>
      <c r="D225" s="4">
        <v>132.18</v>
      </c>
      <c r="E225" s="4">
        <v>137.22999999999999</v>
      </c>
      <c r="F225" s="4">
        <v>137.22999999999999</v>
      </c>
      <c r="G225" s="4">
        <v>137.22999999999999</v>
      </c>
      <c r="H225" s="5">
        <v>135.54</v>
      </c>
      <c r="I225" s="4">
        <v>152.25</v>
      </c>
      <c r="J225" s="4">
        <v>136.77000000000001</v>
      </c>
      <c r="K225" s="4">
        <f t="shared" si="19"/>
        <v>137.22999999999999</v>
      </c>
      <c r="L225" s="4">
        <v>136.77000000000001</v>
      </c>
      <c r="M225" s="4">
        <f t="shared" si="13"/>
        <v>144.0915</v>
      </c>
      <c r="N225" s="4">
        <f t="shared" si="17"/>
        <v>144.0915</v>
      </c>
      <c r="O225" s="6">
        <v>136.22999999999999</v>
      </c>
      <c r="P225" s="4">
        <f t="shared" si="18"/>
        <v>102.92249999999999</v>
      </c>
    </row>
    <row r="226" spans="1:16" x14ac:dyDescent="0.2">
      <c r="A226" s="2" t="s">
        <v>482</v>
      </c>
      <c r="B226" s="2" t="s">
        <v>483</v>
      </c>
      <c r="C226" s="3" t="s">
        <v>18</v>
      </c>
      <c r="D226" s="4">
        <v>35.6</v>
      </c>
      <c r="E226" s="4">
        <v>36.28</v>
      </c>
      <c r="F226" s="4">
        <v>36.28</v>
      </c>
      <c r="G226" s="4">
        <v>36.28</v>
      </c>
      <c r="H226" s="5">
        <v>40.71</v>
      </c>
      <c r="I226" s="4">
        <v>41.04</v>
      </c>
      <c r="J226" s="4">
        <v>36.869999999999997</v>
      </c>
      <c r="K226" s="4">
        <f t="shared" si="19"/>
        <v>36.28</v>
      </c>
      <c r="L226" s="4">
        <v>36.869999999999997</v>
      </c>
      <c r="M226" s="4">
        <f t="shared" si="13"/>
        <v>38.094000000000001</v>
      </c>
      <c r="N226" s="4">
        <f t="shared" si="17"/>
        <v>38.094000000000001</v>
      </c>
      <c r="O226" s="6">
        <v>36.96</v>
      </c>
      <c r="P226" s="4">
        <f t="shared" si="18"/>
        <v>27.21</v>
      </c>
    </row>
    <row r="227" spans="1:16" x14ac:dyDescent="0.2">
      <c r="A227" s="2" t="s">
        <v>484</v>
      </c>
      <c r="B227" s="2" t="s">
        <v>485</v>
      </c>
      <c r="C227" s="3" t="s">
        <v>18</v>
      </c>
      <c r="D227" s="4">
        <v>71.88</v>
      </c>
      <c r="E227" s="4">
        <v>74.16</v>
      </c>
      <c r="F227" s="4">
        <v>74.16</v>
      </c>
      <c r="G227" s="4">
        <v>74.16</v>
      </c>
      <c r="H227" s="5">
        <v>82.92</v>
      </c>
      <c r="I227" s="4">
        <v>83.23</v>
      </c>
      <c r="J227" s="4">
        <v>74.77</v>
      </c>
      <c r="K227" s="4">
        <f t="shared" si="19"/>
        <v>74.16</v>
      </c>
      <c r="L227" s="4">
        <v>74.760000000000005</v>
      </c>
      <c r="M227" s="4">
        <f t="shared" si="13"/>
        <v>77.867999999999995</v>
      </c>
      <c r="N227" s="4">
        <f t="shared" si="17"/>
        <v>77.867999999999995</v>
      </c>
      <c r="O227" s="6">
        <v>75.930000000000007</v>
      </c>
      <c r="P227" s="4">
        <f t="shared" si="18"/>
        <v>55.62</v>
      </c>
    </row>
    <row r="228" spans="1:16" x14ac:dyDescent="0.2">
      <c r="A228" s="11" t="s">
        <v>486</v>
      </c>
      <c r="B228" s="11" t="s">
        <v>487</v>
      </c>
      <c r="C228" s="3" t="s">
        <v>18</v>
      </c>
      <c r="D228" s="9" t="s">
        <v>35</v>
      </c>
      <c r="E228" s="4">
        <v>10.99</v>
      </c>
      <c r="F228" s="4">
        <v>10.99</v>
      </c>
      <c r="G228" s="4">
        <v>10.99</v>
      </c>
      <c r="H228" s="5">
        <v>19.88</v>
      </c>
      <c r="I228" s="4">
        <v>17.07</v>
      </c>
      <c r="J228" s="4">
        <v>15.33</v>
      </c>
      <c r="K228" s="4">
        <f t="shared" si="19"/>
        <v>10.99</v>
      </c>
      <c r="L228" s="4">
        <v>15.33</v>
      </c>
      <c r="M228" s="4">
        <f t="shared" si="13"/>
        <v>11.5395</v>
      </c>
      <c r="N228" s="4">
        <f t="shared" si="17"/>
        <v>11.5395</v>
      </c>
      <c r="O228" s="6">
        <v>7.14</v>
      </c>
      <c r="P228" s="4">
        <f t="shared" si="18"/>
        <v>8.2424999999999997</v>
      </c>
    </row>
    <row r="229" spans="1:16" x14ac:dyDescent="0.2">
      <c r="A229" s="2" t="s">
        <v>488</v>
      </c>
      <c r="B229" s="2" t="s">
        <v>489</v>
      </c>
      <c r="C229" s="3" t="s">
        <v>18</v>
      </c>
      <c r="D229" s="4">
        <v>59.09</v>
      </c>
      <c r="E229" s="4">
        <v>60.225000000000001</v>
      </c>
      <c r="F229" s="4">
        <v>60.225000000000001</v>
      </c>
      <c r="G229" s="4">
        <v>60.225000000000001</v>
      </c>
      <c r="H229" s="5">
        <v>80.03</v>
      </c>
      <c r="I229" s="4">
        <v>67.86</v>
      </c>
      <c r="J229" s="4">
        <v>60.96</v>
      </c>
      <c r="K229" s="4">
        <f t="shared" si="19"/>
        <v>60.225000000000001</v>
      </c>
      <c r="L229" s="4">
        <v>60.96</v>
      </c>
      <c r="M229" s="4">
        <f t="shared" si="13"/>
        <v>63.236250000000005</v>
      </c>
      <c r="N229" s="4">
        <f t="shared" si="17"/>
        <v>63.236250000000005</v>
      </c>
      <c r="O229" s="6">
        <v>63.39</v>
      </c>
      <c r="P229" s="4">
        <f t="shared" si="18"/>
        <v>45.168750000000003</v>
      </c>
    </row>
    <row r="230" spans="1:16" x14ac:dyDescent="0.2">
      <c r="A230" s="2" t="s">
        <v>490</v>
      </c>
      <c r="B230" s="2" t="s">
        <v>491</v>
      </c>
      <c r="C230" s="3" t="s">
        <v>446</v>
      </c>
      <c r="D230" s="4">
        <v>35.590000000000003</v>
      </c>
      <c r="E230" s="4">
        <v>36.799999999999997</v>
      </c>
      <c r="F230" s="4">
        <v>36.799999999999997</v>
      </c>
      <c r="G230" s="4">
        <v>36.799999999999997</v>
      </c>
      <c r="H230" s="5">
        <v>36.14</v>
      </c>
      <c r="I230" s="4">
        <v>41.17</v>
      </c>
      <c r="J230" s="4">
        <v>36.979999999999997</v>
      </c>
      <c r="K230" s="4">
        <f t="shared" si="19"/>
        <v>36.799999999999997</v>
      </c>
      <c r="L230" s="4">
        <v>36.979999999999997</v>
      </c>
      <c r="M230" s="4">
        <f t="shared" si="13"/>
        <v>38.64</v>
      </c>
      <c r="N230" s="4">
        <f t="shared" si="17"/>
        <v>38.64</v>
      </c>
      <c r="O230" s="6">
        <v>36.26</v>
      </c>
      <c r="P230" s="4">
        <f t="shared" si="18"/>
        <v>27.599999999999998</v>
      </c>
    </row>
    <row r="231" spans="1:16" x14ac:dyDescent="0.2">
      <c r="A231" s="11" t="s">
        <v>492</v>
      </c>
      <c r="B231" s="11" t="s">
        <v>493</v>
      </c>
      <c r="C231" s="3" t="s">
        <v>21</v>
      </c>
      <c r="D231" s="9" t="s">
        <v>35</v>
      </c>
      <c r="E231" s="4">
        <v>28.52</v>
      </c>
      <c r="F231" s="4">
        <v>28.52</v>
      </c>
      <c r="G231" s="4">
        <v>28.52</v>
      </c>
      <c r="H231" s="5">
        <v>32.24</v>
      </c>
      <c r="I231" s="4">
        <v>31.75</v>
      </c>
      <c r="J231" s="4">
        <v>28.52</v>
      </c>
      <c r="K231" s="4">
        <f t="shared" si="19"/>
        <v>28.52</v>
      </c>
      <c r="L231" s="4">
        <v>28.52</v>
      </c>
      <c r="M231" s="4">
        <f t="shared" ref="M231:M267" si="20">E231*1.05</f>
        <v>29.946000000000002</v>
      </c>
      <c r="N231" s="4">
        <f t="shared" si="17"/>
        <v>29.946000000000002</v>
      </c>
      <c r="O231" s="6">
        <v>28.52</v>
      </c>
      <c r="P231" s="4">
        <f t="shared" si="18"/>
        <v>21.39</v>
      </c>
    </row>
    <row r="232" spans="1:16" x14ac:dyDescent="0.2">
      <c r="A232" s="2" t="s">
        <v>494</v>
      </c>
      <c r="B232" s="2" t="s">
        <v>495</v>
      </c>
      <c r="C232" s="3" t="s">
        <v>116</v>
      </c>
      <c r="D232" s="4">
        <v>32.950000000000003</v>
      </c>
      <c r="E232" s="4">
        <v>30.8</v>
      </c>
      <c r="F232" s="4">
        <v>30.8</v>
      </c>
      <c r="G232" s="4">
        <v>30.8</v>
      </c>
      <c r="H232" s="5">
        <v>32.799999999999997</v>
      </c>
      <c r="I232" s="4">
        <v>34.409999999999997</v>
      </c>
      <c r="J232" s="4">
        <v>30.91</v>
      </c>
      <c r="K232" s="4">
        <f t="shared" si="19"/>
        <v>30.8</v>
      </c>
      <c r="L232" s="4">
        <v>30.91</v>
      </c>
      <c r="M232" s="4">
        <f t="shared" si="20"/>
        <v>32.340000000000003</v>
      </c>
      <c r="N232" s="4">
        <f t="shared" si="17"/>
        <v>32.340000000000003</v>
      </c>
      <c r="O232" s="6">
        <v>31.08</v>
      </c>
      <c r="P232" s="4">
        <f t="shared" si="18"/>
        <v>23.1</v>
      </c>
    </row>
    <row r="233" spans="1:16" x14ac:dyDescent="0.2">
      <c r="A233" s="2" t="s">
        <v>494</v>
      </c>
      <c r="B233" s="2" t="s">
        <v>496</v>
      </c>
      <c r="C233" s="3" t="s">
        <v>116</v>
      </c>
      <c r="D233" s="4">
        <v>31.99</v>
      </c>
      <c r="E233" s="4">
        <v>30.8</v>
      </c>
      <c r="F233" s="4">
        <v>30.8</v>
      </c>
      <c r="G233" s="4">
        <v>30.8</v>
      </c>
      <c r="H233" s="5">
        <v>32.799999999999997</v>
      </c>
      <c r="I233" s="4">
        <v>34.409999999999997</v>
      </c>
      <c r="J233" s="4">
        <v>30.91</v>
      </c>
      <c r="K233" s="4">
        <f t="shared" si="19"/>
        <v>30.8</v>
      </c>
      <c r="L233" s="4">
        <v>30.91</v>
      </c>
      <c r="M233" s="4">
        <f t="shared" si="20"/>
        <v>32.340000000000003</v>
      </c>
      <c r="N233" s="4">
        <f t="shared" si="17"/>
        <v>32.340000000000003</v>
      </c>
      <c r="O233" s="6">
        <v>31.08</v>
      </c>
      <c r="P233" s="4">
        <f t="shared" si="18"/>
        <v>23.1</v>
      </c>
    </row>
    <row r="234" spans="1:16" x14ac:dyDescent="0.2">
      <c r="A234" s="2" t="s">
        <v>497</v>
      </c>
      <c r="B234" s="2" t="s">
        <v>498</v>
      </c>
      <c r="C234" s="3" t="s">
        <v>499</v>
      </c>
      <c r="D234" s="4">
        <v>53.84</v>
      </c>
      <c r="E234" s="4">
        <v>56.92</v>
      </c>
      <c r="F234" s="4">
        <v>56.92</v>
      </c>
      <c r="G234" s="4">
        <v>56.92</v>
      </c>
      <c r="H234" s="5">
        <v>55.76</v>
      </c>
      <c r="I234" s="4">
        <v>63.24</v>
      </c>
      <c r="J234" s="4">
        <v>56.81</v>
      </c>
      <c r="K234" s="4">
        <f t="shared" si="19"/>
        <v>56.92</v>
      </c>
      <c r="L234" s="4">
        <v>56.8</v>
      </c>
      <c r="M234" s="4">
        <f t="shared" si="20"/>
        <v>59.766000000000005</v>
      </c>
      <c r="N234" s="4">
        <f t="shared" si="17"/>
        <v>59.766000000000005</v>
      </c>
      <c r="O234" s="6">
        <v>55.66</v>
      </c>
      <c r="P234" s="4">
        <f t="shared" si="18"/>
        <v>42.69</v>
      </c>
    </row>
    <row r="235" spans="1:16" x14ac:dyDescent="0.2">
      <c r="A235" s="11" t="s">
        <v>500</v>
      </c>
      <c r="B235" s="11" t="s">
        <v>501</v>
      </c>
      <c r="C235" s="3" t="s">
        <v>18</v>
      </c>
      <c r="D235" s="9" t="s">
        <v>35</v>
      </c>
      <c r="E235" s="4" t="s">
        <v>502</v>
      </c>
      <c r="F235" s="4" t="s">
        <v>502</v>
      </c>
      <c r="G235" s="4" t="s">
        <v>502</v>
      </c>
      <c r="H235" s="5">
        <v>10.51</v>
      </c>
      <c r="I235" s="4">
        <v>0.14000000000000001</v>
      </c>
      <c r="J235" s="4">
        <v>0.13</v>
      </c>
      <c r="K235" s="4" t="str">
        <f t="shared" si="19"/>
        <v>WAC</v>
      </c>
      <c r="L235" s="4">
        <v>0.12</v>
      </c>
      <c r="M235" s="4" t="e">
        <f t="shared" si="20"/>
        <v>#VALUE!</v>
      </c>
      <c r="N235" s="4" t="e">
        <f t="shared" si="17"/>
        <v>#VALUE!</v>
      </c>
      <c r="O235" s="6">
        <v>10.34</v>
      </c>
      <c r="P235" s="4">
        <v>10.34</v>
      </c>
    </row>
    <row r="236" spans="1:16" x14ac:dyDescent="0.2">
      <c r="A236" s="2" t="s">
        <v>503</v>
      </c>
      <c r="B236" s="2" t="s">
        <v>504</v>
      </c>
      <c r="C236" s="3" t="s">
        <v>18</v>
      </c>
      <c r="D236" s="4">
        <v>67.819999999999993</v>
      </c>
      <c r="E236" s="4">
        <v>70.48</v>
      </c>
      <c r="F236" s="4">
        <v>70.48</v>
      </c>
      <c r="G236" s="4">
        <v>70.48</v>
      </c>
      <c r="H236" s="5">
        <v>84.35</v>
      </c>
      <c r="I236" s="4">
        <v>81.62</v>
      </c>
      <c r="J236" s="4">
        <v>73.319999999999993</v>
      </c>
      <c r="K236" s="4">
        <f t="shared" si="19"/>
        <v>70.48</v>
      </c>
      <c r="L236" s="4">
        <v>73.319999999999993</v>
      </c>
      <c r="M236" s="4">
        <f t="shared" si="20"/>
        <v>74.004000000000005</v>
      </c>
      <c r="N236" s="4">
        <f t="shared" si="17"/>
        <v>74.004000000000005</v>
      </c>
      <c r="O236" s="6">
        <v>80.099999999999994</v>
      </c>
      <c r="P236" s="4">
        <f>E236*0.75</f>
        <v>52.86</v>
      </c>
    </row>
    <row r="237" spans="1:16" x14ac:dyDescent="0.2">
      <c r="A237" s="2" t="s">
        <v>505</v>
      </c>
      <c r="B237" s="2" t="s">
        <v>506</v>
      </c>
      <c r="C237" s="3" t="s">
        <v>507</v>
      </c>
      <c r="D237" s="4">
        <v>72.61</v>
      </c>
      <c r="E237" s="4">
        <v>73.94</v>
      </c>
      <c r="F237" s="4">
        <v>73.94</v>
      </c>
      <c r="G237" s="4">
        <v>73.94</v>
      </c>
      <c r="H237" s="5">
        <v>72.319999999999993</v>
      </c>
      <c r="I237" s="4">
        <v>82.31</v>
      </c>
      <c r="J237" s="4">
        <v>73.94</v>
      </c>
      <c r="K237" s="4">
        <f t="shared" si="19"/>
        <v>73.94</v>
      </c>
      <c r="L237" s="4">
        <v>73.94</v>
      </c>
      <c r="M237" s="4">
        <f t="shared" si="20"/>
        <v>77.637</v>
      </c>
      <c r="N237" s="4">
        <f t="shared" si="17"/>
        <v>77.637</v>
      </c>
      <c r="O237" s="6">
        <v>73.55</v>
      </c>
      <c r="P237" s="4">
        <f>E237*0.75</f>
        <v>55.454999999999998</v>
      </c>
    </row>
    <row r="238" spans="1:16" x14ac:dyDescent="0.2">
      <c r="A238" s="2" t="s">
        <v>508</v>
      </c>
      <c r="B238" s="2" t="s">
        <v>509</v>
      </c>
      <c r="C238" s="3" t="s">
        <v>24</v>
      </c>
      <c r="D238" s="4">
        <v>138.4</v>
      </c>
      <c r="E238" s="4">
        <v>145.99</v>
      </c>
      <c r="F238" s="4">
        <v>145.99</v>
      </c>
      <c r="G238" s="4">
        <v>145.99</v>
      </c>
      <c r="H238" s="5">
        <v>139.80000000000001</v>
      </c>
      <c r="I238" s="4">
        <v>162.38</v>
      </c>
      <c r="J238" s="4">
        <v>145.87</v>
      </c>
      <c r="K238" s="4">
        <f>E238</f>
        <v>145.99</v>
      </c>
      <c r="L238" s="4">
        <v>145.87</v>
      </c>
      <c r="M238" s="4">
        <f t="shared" si="20"/>
        <v>153.2895</v>
      </c>
      <c r="N238" s="4">
        <f t="shared" si="17"/>
        <v>153.2895</v>
      </c>
      <c r="O238" s="7" t="s">
        <v>32</v>
      </c>
      <c r="P238" s="4">
        <f>E238*0.75</f>
        <v>109.49250000000001</v>
      </c>
    </row>
    <row r="239" spans="1:16" x14ac:dyDescent="0.2">
      <c r="A239" s="2" t="s">
        <v>510</v>
      </c>
      <c r="B239" s="2" t="s">
        <v>511</v>
      </c>
      <c r="C239" s="3" t="s">
        <v>24</v>
      </c>
      <c r="D239" s="4">
        <v>54.63</v>
      </c>
      <c r="E239" s="4">
        <v>58.27</v>
      </c>
      <c r="F239" s="4">
        <v>58.27</v>
      </c>
      <c r="G239" s="4">
        <v>58.27</v>
      </c>
      <c r="H239" s="5">
        <v>57.69</v>
      </c>
      <c r="I239" s="4">
        <v>64.98</v>
      </c>
      <c r="J239" s="4">
        <v>58.37</v>
      </c>
      <c r="K239" s="4">
        <f t="shared" ref="K239:K267" si="21">E239</f>
        <v>58.27</v>
      </c>
      <c r="L239" s="4">
        <v>58.37</v>
      </c>
      <c r="M239" s="4">
        <f t="shared" si="20"/>
        <v>61.183500000000009</v>
      </c>
      <c r="N239" s="4">
        <f t="shared" si="17"/>
        <v>61.183500000000009</v>
      </c>
      <c r="O239" s="6">
        <v>57.42</v>
      </c>
      <c r="P239" s="4">
        <f t="shared" ref="P239:P302" si="22">E239*0.75</f>
        <v>43.702500000000001</v>
      </c>
    </row>
    <row r="240" spans="1:16" x14ac:dyDescent="0.2">
      <c r="A240" s="2" t="s">
        <v>512</v>
      </c>
      <c r="B240" s="2" t="s">
        <v>513</v>
      </c>
      <c r="C240" s="3" t="s">
        <v>24</v>
      </c>
      <c r="D240" s="4">
        <v>19.600000000000001</v>
      </c>
      <c r="E240" s="4">
        <v>30.08</v>
      </c>
      <c r="F240" s="4">
        <v>30.08</v>
      </c>
      <c r="G240" s="4">
        <v>30.08</v>
      </c>
      <c r="H240" s="5">
        <v>48.86</v>
      </c>
      <c r="I240" s="4">
        <v>22.62</v>
      </c>
      <c r="J240" s="4">
        <v>20.32</v>
      </c>
      <c r="K240" s="4">
        <f t="shared" si="21"/>
        <v>30.08</v>
      </c>
      <c r="L240" s="4">
        <v>20.32</v>
      </c>
      <c r="M240" s="4">
        <f t="shared" si="20"/>
        <v>31.584</v>
      </c>
      <c r="N240" s="4">
        <f t="shared" si="17"/>
        <v>31.584</v>
      </c>
      <c r="O240" s="6">
        <v>32.29</v>
      </c>
      <c r="P240" s="4">
        <f t="shared" si="22"/>
        <v>22.56</v>
      </c>
    </row>
    <row r="241" spans="1:16" x14ac:dyDescent="0.2">
      <c r="A241" s="2" t="s">
        <v>514</v>
      </c>
      <c r="B241" s="2" t="s">
        <v>515</v>
      </c>
      <c r="C241" s="3" t="s">
        <v>91</v>
      </c>
      <c r="D241" s="4">
        <v>31.57</v>
      </c>
      <c r="E241" s="4">
        <v>32.61</v>
      </c>
      <c r="F241" s="4">
        <v>32.61</v>
      </c>
      <c r="G241" s="4">
        <v>32.61</v>
      </c>
      <c r="H241" s="5">
        <v>32.68</v>
      </c>
      <c r="I241" s="4">
        <v>32.22</v>
      </c>
      <c r="J241" s="4">
        <v>32.22</v>
      </c>
      <c r="K241" s="4">
        <f t="shared" si="21"/>
        <v>32.61</v>
      </c>
      <c r="L241" s="4">
        <v>32.22</v>
      </c>
      <c r="M241" s="4">
        <f t="shared" si="20"/>
        <v>34.240500000000004</v>
      </c>
      <c r="N241" s="4">
        <f t="shared" si="17"/>
        <v>34.240500000000004</v>
      </c>
      <c r="O241" s="6">
        <v>32.4</v>
      </c>
      <c r="P241" s="4">
        <f t="shared" si="22"/>
        <v>24.4575</v>
      </c>
    </row>
    <row r="242" spans="1:16" x14ac:dyDescent="0.2">
      <c r="A242" s="2" t="s">
        <v>516</v>
      </c>
      <c r="B242" s="2" t="s">
        <v>517</v>
      </c>
      <c r="C242" s="3" t="s">
        <v>24</v>
      </c>
      <c r="D242" s="4">
        <v>22.54</v>
      </c>
      <c r="E242" s="4">
        <v>23.4</v>
      </c>
      <c r="F242" s="4">
        <v>23.4</v>
      </c>
      <c r="G242" s="4">
        <v>23.4</v>
      </c>
      <c r="H242" s="5">
        <v>23.09</v>
      </c>
      <c r="I242" s="4">
        <v>23.38</v>
      </c>
      <c r="J242" s="4">
        <v>23.38</v>
      </c>
      <c r="K242" s="4">
        <f t="shared" si="21"/>
        <v>23.4</v>
      </c>
      <c r="L242" s="4">
        <v>23.38</v>
      </c>
      <c r="M242" s="4">
        <f t="shared" si="20"/>
        <v>24.57</v>
      </c>
      <c r="N242" s="4">
        <f t="shared" si="17"/>
        <v>24.57</v>
      </c>
      <c r="O242" s="6">
        <v>23.16</v>
      </c>
      <c r="P242" s="4">
        <f t="shared" si="22"/>
        <v>17.549999999999997</v>
      </c>
    </row>
    <row r="243" spans="1:16" x14ac:dyDescent="0.2">
      <c r="A243" s="2" t="s">
        <v>518</v>
      </c>
      <c r="B243" s="2" t="s">
        <v>519</v>
      </c>
      <c r="C243" s="3" t="s">
        <v>91</v>
      </c>
      <c r="D243" s="4">
        <v>32.56</v>
      </c>
      <c r="E243" s="4">
        <v>34.325000000000003</v>
      </c>
      <c r="F243" s="4">
        <v>34.325000000000003</v>
      </c>
      <c r="G243" s="4">
        <v>34.325000000000003</v>
      </c>
      <c r="H243" s="5">
        <v>33.700000000000003</v>
      </c>
      <c r="I243" s="4">
        <v>34.119999999999997</v>
      </c>
      <c r="J243" s="4">
        <v>34.119999999999997</v>
      </c>
      <c r="K243" s="4">
        <f t="shared" si="21"/>
        <v>34.325000000000003</v>
      </c>
      <c r="L243" s="4">
        <v>34.119999999999997</v>
      </c>
      <c r="M243" s="4">
        <f t="shared" si="20"/>
        <v>36.041250000000005</v>
      </c>
      <c r="N243" s="4">
        <f t="shared" si="17"/>
        <v>36.041250000000005</v>
      </c>
      <c r="O243" s="6">
        <v>33.74</v>
      </c>
      <c r="P243" s="4">
        <f t="shared" si="22"/>
        <v>25.743750000000002</v>
      </c>
    </row>
    <row r="244" spans="1:16" x14ac:dyDescent="0.2">
      <c r="A244" s="2" t="s">
        <v>520</v>
      </c>
      <c r="B244" s="2" t="s">
        <v>521</v>
      </c>
      <c r="C244" s="3" t="s">
        <v>24</v>
      </c>
      <c r="D244" s="4">
        <v>37.14</v>
      </c>
      <c r="E244" s="4">
        <v>38.549999999999997</v>
      </c>
      <c r="F244" s="4">
        <v>38.549999999999997</v>
      </c>
      <c r="G244" s="4">
        <v>38.549999999999997</v>
      </c>
      <c r="H244" s="5">
        <v>37.14</v>
      </c>
      <c r="I244" s="4">
        <v>42.91</v>
      </c>
      <c r="J244" s="4">
        <v>38.549999999999997</v>
      </c>
      <c r="K244" s="4">
        <f t="shared" si="21"/>
        <v>38.549999999999997</v>
      </c>
      <c r="L244" s="4">
        <v>38.549999999999997</v>
      </c>
      <c r="M244" s="4">
        <f t="shared" si="20"/>
        <v>40.477499999999999</v>
      </c>
      <c r="N244" s="4">
        <f t="shared" si="17"/>
        <v>40.477499999999999</v>
      </c>
      <c r="O244" s="6">
        <v>44.57</v>
      </c>
      <c r="P244" s="4">
        <f t="shared" si="22"/>
        <v>28.912499999999998</v>
      </c>
    </row>
    <row r="245" spans="1:16" x14ac:dyDescent="0.2">
      <c r="A245" s="2" t="s">
        <v>522</v>
      </c>
      <c r="B245" s="2" t="s">
        <v>523</v>
      </c>
      <c r="C245" s="3" t="s">
        <v>24</v>
      </c>
      <c r="D245" s="4">
        <v>13.2</v>
      </c>
      <c r="E245" s="4">
        <v>5.74</v>
      </c>
      <c r="F245" s="4">
        <v>5.74</v>
      </c>
      <c r="G245" s="4">
        <v>5.74</v>
      </c>
      <c r="H245" s="5">
        <v>13.8</v>
      </c>
      <c r="I245" s="4">
        <v>9.86</v>
      </c>
      <c r="J245" s="4">
        <v>8.86</v>
      </c>
      <c r="K245" s="4">
        <f t="shared" si="21"/>
        <v>5.74</v>
      </c>
      <c r="L245" s="4">
        <v>8.86</v>
      </c>
      <c r="M245" s="4">
        <f t="shared" si="20"/>
        <v>6.0270000000000001</v>
      </c>
      <c r="N245" s="4">
        <f t="shared" ref="N245:N267" si="23">E245*1.05</f>
        <v>6.0270000000000001</v>
      </c>
      <c r="O245" s="6">
        <v>12.24</v>
      </c>
      <c r="P245" s="4">
        <f t="shared" si="22"/>
        <v>4.3049999999999997</v>
      </c>
    </row>
    <row r="246" spans="1:16" x14ac:dyDescent="0.2">
      <c r="A246" s="2" t="s">
        <v>524</v>
      </c>
      <c r="B246" s="2" t="s">
        <v>525</v>
      </c>
      <c r="C246" s="3" t="s">
        <v>24</v>
      </c>
      <c r="D246" s="4">
        <v>28.57</v>
      </c>
      <c r="E246" s="4">
        <v>30.4</v>
      </c>
      <c r="F246" s="4">
        <v>30.4</v>
      </c>
      <c r="G246" s="4">
        <v>30.4</v>
      </c>
      <c r="H246" s="5">
        <v>30.53</v>
      </c>
      <c r="I246" s="4">
        <v>33.99</v>
      </c>
      <c r="J246" s="4">
        <v>30.53</v>
      </c>
      <c r="K246" s="4">
        <f t="shared" si="21"/>
        <v>30.4</v>
      </c>
      <c r="L246" s="4">
        <v>30.53</v>
      </c>
      <c r="M246" s="4">
        <f t="shared" si="20"/>
        <v>31.919999999999998</v>
      </c>
      <c r="N246" s="4">
        <f t="shared" si="23"/>
        <v>31.919999999999998</v>
      </c>
      <c r="O246" s="6">
        <v>29.98</v>
      </c>
      <c r="P246" s="4">
        <f t="shared" si="22"/>
        <v>22.799999999999997</v>
      </c>
    </row>
    <row r="247" spans="1:16" x14ac:dyDescent="0.2">
      <c r="A247" s="2" t="s">
        <v>526</v>
      </c>
      <c r="B247" s="2" t="s">
        <v>527</v>
      </c>
      <c r="C247" s="3" t="s">
        <v>24</v>
      </c>
      <c r="D247" s="4">
        <v>137.16</v>
      </c>
      <c r="E247" s="4">
        <v>143.22999999999999</v>
      </c>
      <c r="F247" s="4">
        <v>143.22999999999999</v>
      </c>
      <c r="G247" s="4">
        <v>143.22999999999999</v>
      </c>
      <c r="H247" s="5">
        <v>136.33000000000001</v>
      </c>
      <c r="I247" s="4">
        <v>159.21</v>
      </c>
      <c r="J247" s="4">
        <v>143.02000000000001</v>
      </c>
      <c r="K247" s="4">
        <f t="shared" si="21"/>
        <v>143.22999999999999</v>
      </c>
      <c r="L247" s="4">
        <v>143.02000000000001</v>
      </c>
      <c r="M247" s="4">
        <f t="shared" si="20"/>
        <v>150.39150000000001</v>
      </c>
      <c r="N247" s="4">
        <f t="shared" si="23"/>
        <v>150.39150000000001</v>
      </c>
      <c r="O247" s="6">
        <v>141.16999999999999</v>
      </c>
      <c r="P247" s="4">
        <f t="shared" si="22"/>
        <v>107.42249999999999</v>
      </c>
    </row>
    <row r="248" spans="1:16" x14ac:dyDescent="0.2">
      <c r="A248" s="11" t="s">
        <v>528</v>
      </c>
      <c r="B248" s="11" t="s">
        <v>529</v>
      </c>
      <c r="C248" s="3" t="s">
        <v>24</v>
      </c>
      <c r="D248" s="9" t="s">
        <v>35</v>
      </c>
      <c r="E248" s="4">
        <v>686.09</v>
      </c>
      <c r="F248" s="4">
        <v>686.09</v>
      </c>
      <c r="G248" s="4">
        <v>686.09</v>
      </c>
      <c r="H248" s="5">
        <v>674.62</v>
      </c>
      <c r="I248" s="4">
        <v>763.75</v>
      </c>
      <c r="J248" s="4">
        <v>686.08</v>
      </c>
      <c r="K248" s="4">
        <f t="shared" si="21"/>
        <v>686.09</v>
      </c>
      <c r="L248" s="4">
        <v>686.08</v>
      </c>
      <c r="M248" s="4">
        <f t="shared" si="20"/>
        <v>720.39450000000011</v>
      </c>
      <c r="N248" s="4">
        <f t="shared" si="23"/>
        <v>720.39450000000011</v>
      </c>
      <c r="O248" s="6">
        <v>685.91</v>
      </c>
      <c r="P248" s="4">
        <f t="shared" si="22"/>
        <v>514.5675</v>
      </c>
    </row>
    <row r="249" spans="1:16" x14ac:dyDescent="0.2">
      <c r="A249" s="2" t="s">
        <v>530</v>
      </c>
      <c r="B249" s="2" t="s">
        <v>531</v>
      </c>
      <c r="C249" s="3" t="s">
        <v>91</v>
      </c>
      <c r="D249" s="4">
        <v>13.81</v>
      </c>
      <c r="E249" s="4">
        <v>14.17</v>
      </c>
      <c r="F249" s="4">
        <v>14.17</v>
      </c>
      <c r="G249" s="4">
        <v>14.17</v>
      </c>
      <c r="H249" s="5">
        <v>14.45</v>
      </c>
      <c r="I249" s="4">
        <v>15.85</v>
      </c>
      <c r="J249" s="4">
        <v>14.24</v>
      </c>
      <c r="K249" s="4">
        <f t="shared" si="21"/>
        <v>14.17</v>
      </c>
      <c r="L249" s="4">
        <v>14.24</v>
      </c>
      <c r="M249" s="4">
        <f t="shared" si="20"/>
        <v>14.878500000000001</v>
      </c>
      <c r="N249" s="4">
        <f t="shared" si="23"/>
        <v>14.878500000000001</v>
      </c>
      <c r="O249" s="6">
        <v>14.08</v>
      </c>
      <c r="P249" s="4">
        <f t="shared" si="22"/>
        <v>10.6275</v>
      </c>
    </row>
    <row r="250" spans="1:16" x14ac:dyDescent="0.2">
      <c r="A250" s="2" t="s">
        <v>532</v>
      </c>
      <c r="B250" s="2" t="s">
        <v>533</v>
      </c>
      <c r="C250" s="3" t="s">
        <v>24</v>
      </c>
      <c r="D250" s="4">
        <v>642.17999999999995</v>
      </c>
      <c r="E250" s="4">
        <v>654.54</v>
      </c>
      <c r="F250" s="4">
        <v>654.54</v>
      </c>
      <c r="G250" s="4">
        <v>654.54</v>
      </c>
      <c r="H250" s="5">
        <v>646.25</v>
      </c>
      <c r="I250" s="4">
        <v>729.58</v>
      </c>
      <c r="J250" s="4">
        <v>655.38</v>
      </c>
      <c r="K250" s="4">
        <f t="shared" si="21"/>
        <v>654.54</v>
      </c>
      <c r="L250" s="4">
        <v>655.38</v>
      </c>
      <c r="M250" s="4">
        <f t="shared" si="20"/>
        <v>687.26699999999994</v>
      </c>
      <c r="N250" s="4">
        <f t="shared" si="23"/>
        <v>687.26699999999994</v>
      </c>
      <c r="O250" s="6">
        <v>652.75</v>
      </c>
      <c r="P250" s="4">
        <f t="shared" si="22"/>
        <v>490.90499999999997</v>
      </c>
    </row>
    <row r="251" spans="1:16" x14ac:dyDescent="0.2">
      <c r="A251" s="2" t="s">
        <v>532</v>
      </c>
      <c r="B251" s="2" t="s">
        <v>534</v>
      </c>
      <c r="C251" s="3" t="s">
        <v>24</v>
      </c>
      <c r="D251" s="4">
        <v>642.17999999999995</v>
      </c>
      <c r="E251" s="4">
        <v>654.54</v>
      </c>
      <c r="F251" s="4">
        <v>654.54</v>
      </c>
      <c r="G251" s="4">
        <v>654.54</v>
      </c>
      <c r="H251" s="5">
        <v>646.25</v>
      </c>
      <c r="I251" s="4">
        <v>729.58</v>
      </c>
      <c r="J251" s="4">
        <v>655.38</v>
      </c>
      <c r="K251" s="4">
        <f t="shared" si="21"/>
        <v>654.54</v>
      </c>
      <c r="L251" s="4">
        <v>655.38</v>
      </c>
      <c r="M251" s="4">
        <f t="shared" si="20"/>
        <v>687.26699999999994</v>
      </c>
      <c r="N251" s="4">
        <f t="shared" si="23"/>
        <v>687.26699999999994</v>
      </c>
      <c r="O251" s="6">
        <v>652.75</v>
      </c>
      <c r="P251" s="4">
        <f t="shared" si="22"/>
        <v>490.90499999999997</v>
      </c>
    </row>
    <row r="252" spans="1:16" x14ac:dyDescent="0.2">
      <c r="A252" s="2" t="s">
        <v>535</v>
      </c>
      <c r="B252" s="2" t="s">
        <v>536</v>
      </c>
      <c r="C252" s="3" t="s">
        <v>21</v>
      </c>
      <c r="D252" s="4">
        <v>0.87</v>
      </c>
      <c r="E252" s="4">
        <v>2.11</v>
      </c>
      <c r="F252" s="4">
        <v>2.11</v>
      </c>
      <c r="G252" s="4">
        <v>2.11</v>
      </c>
      <c r="H252" s="5">
        <v>1.79</v>
      </c>
      <c r="I252" s="4">
        <v>7.92</v>
      </c>
      <c r="J252" s="4">
        <v>1.25</v>
      </c>
      <c r="K252" s="4">
        <f t="shared" si="21"/>
        <v>2.11</v>
      </c>
      <c r="L252" s="4">
        <v>1.25</v>
      </c>
      <c r="M252" s="4">
        <f t="shared" si="20"/>
        <v>2.2155</v>
      </c>
      <c r="N252" s="4">
        <f t="shared" si="23"/>
        <v>2.2155</v>
      </c>
      <c r="O252" s="6">
        <v>1.34</v>
      </c>
      <c r="P252" s="4">
        <f t="shared" si="22"/>
        <v>1.5825</v>
      </c>
    </row>
    <row r="253" spans="1:16" x14ac:dyDescent="0.2">
      <c r="A253" s="2" t="s">
        <v>537</v>
      </c>
      <c r="B253" s="2" t="s">
        <v>538</v>
      </c>
      <c r="C253" s="3" t="s">
        <v>21</v>
      </c>
      <c r="D253" s="4">
        <v>394.76</v>
      </c>
      <c r="E253" s="4">
        <v>391.07</v>
      </c>
      <c r="F253" s="4">
        <v>391.07</v>
      </c>
      <c r="G253" s="4">
        <v>391.07</v>
      </c>
      <c r="H253" s="5">
        <v>381.94</v>
      </c>
      <c r="I253" s="4">
        <v>435.34</v>
      </c>
      <c r="J253" s="4">
        <v>391.07</v>
      </c>
      <c r="K253" s="4">
        <f t="shared" si="21"/>
        <v>391.07</v>
      </c>
      <c r="L253" s="4">
        <v>391.07</v>
      </c>
      <c r="M253" s="4">
        <f t="shared" si="20"/>
        <v>410.62350000000004</v>
      </c>
      <c r="N253" s="4">
        <f t="shared" si="23"/>
        <v>410.62350000000004</v>
      </c>
      <c r="O253" s="6">
        <v>383.07</v>
      </c>
      <c r="P253" s="4">
        <f t="shared" si="22"/>
        <v>293.30250000000001</v>
      </c>
    </row>
    <row r="254" spans="1:16" x14ac:dyDescent="0.2">
      <c r="A254" s="2" t="s">
        <v>539</v>
      </c>
      <c r="B254" s="2" t="s">
        <v>540</v>
      </c>
      <c r="C254" s="3" t="s">
        <v>225</v>
      </c>
      <c r="D254" s="4">
        <v>56.33</v>
      </c>
      <c r="E254" s="4">
        <v>53.27</v>
      </c>
      <c r="F254" s="4">
        <v>53.27</v>
      </c>
      <c r="G254" s="4">
        <v>53.27</v>
      </c>
      <c r="H254" s="5">
        <v>53.75</v>
      </c>
      <c r="I254" s="4">
        <v>59.84</v>
      </c>
      <c r="J254" s="4">
        <v>53.75</v>
      </c>
      <c r="K254" s="4">
        <f t="shared" si="21"/>
        <v>53.27</v>
      </c>
      <c r="L254" s="4">
        <v>53.75</v>
      </c>
      <c r="M254" s="4">
        <f t="shared" si="20"/>
        <v>55.933500000000002</v>
      </c>
      <c r="N254" s="4">
        <f t="shared" si="23"/>
        <v>55.933500000000002</v>
      </c>
      <c r="O254" s="6">
        <v>50.45</v>
      </c>
      <c r="P254" s="4">
        <f t="shared" si="22"/>
        <v>39.952500000000001</v>
      </c>
    </row>
    <row r="255" spans="1:16" x14ac:dyDescent="0.2">
      <c r="A255" s="2" t="s">
        <v>541</v>
      </c>
      <c r="B255" s="2" t="s">
        <v>542</v>
      </c>
      <c r="C255" s="3" t="s">
        <v>24</v>
      </c>
      <c r="D255" s="4">
        <v>41.07</v>
      </c>
      <c r="E255" s="4">
        <v>42.2</v>
      </c>
      <c r="F255" s="4">
        <v>42.2</v>
      </c>
      <c r="G255" s="4">
        <v>42.2</v>
      </c>
      <c r="H255" s="5">
        <v>39.619999999999997</v>
      </c>
      <c r="I255" s="4">
        <v>46.97</v>
      </c>
      <c r="J255" s="4">
        <v>42.19</v>
      </c>
      <c r="K255" s="4">
        <f t="shared" si="21"/>
        <v>42.2</v>
      </c>
      <c r="L255" s="4">
        <v>42.19</v>
      </c>
      <c r="M255" s="4">
        <f t="shared" si="20"/>
        <v>44.31</v>
      </c>
      <c r="N255" s="4">
        <f t="shared" si="23"/>
        <v>44.31</v>
      </c>
      <c r="O255" s="6">
        <v>41.85</v>
      </c>
      <c r="P255" s="4">
        <f t="shared" si="22"/>
        <v>31.650000000000002</v>
      </c>
    </row>
    <row r="256" spans="1:16" x14ac:dyDescent="0.2">
      <c r="A256" s="2" t="s">
        <v>543</v>
      </c>
      <c r="B256" s="2" t="s">
        <v>544</v>
      </c>
      <c r="C256" s="3" t="s">
        <v>18</v>
      </c>
      <c r="D256" s="4">
        <v>71.180000000000007</v>
      </c>
      <c r="E256" s="4">
        <v>73.424999999999997</v>
      </c>
      <c r="F256" s="4">
        <v>73.424999999999997</v>
      </c>
      <c r="G256" s="4">
        <v>73.424999999999997</v>
      </c>
      <c r="H256" s="5">
        <v>87.84</v>
      </c>
      <c r="I256" s="4">
        <v>81.8</v>
      </c>
      <c r="J256" s="4">
        <v>73.48</v>
      </c>
      <c r="K256" s="4">
        <f t="shared" si="21"/>
        <v>73.424999999999997</v>
      </c>
      <c r="L256" s="4">
        <v>73.48</v>
      </c>
      <c r="M256" s="4">
        <f t="shared" si="20"/>
        <v>77.096249999999998</v>
      </c>
      <c r="N256" s="4">
        <f t="shared" si="23"/>
        <v>77.096249999999998</v>
      </c>
      <c r="O256" s="6">
        <v>76.180000000000007</v>
      </c>
      <c r="P256" s="4">
        <f t="shared" si="22"/>
        <v>55.068749999999994</v>
      </c>
    </row>
    <row r="257" spans="1:16" x14ac:dyDescent="0.2">
      <c r="A257" s="2" t="s">
        <v>545</v>
      </c>
      <c r="B257" s="2" t="s">
        <v>546</v>
      </c>
      <c r="C257" s="3" t="s">
        <v>18</v>
      </c>
      <c r="D257" s="4">
        <v>54.03</v>
      </c>
      <c r="E257" s="4">
        <v>59.91</v>
      </c>
      <c r="F257" s="4">
        <v>59.91</v>
      </c>
      <c r="G257" s="4">
        <v>59.91</v>
      </c>
      <c r="H257" s="5">
        <v>73</v>
      </c>
      <c r="I257" s="4">
        <v>67.98</v>
      </c>
      <c r="J257" s="4">
        <v>61.07</v>
      </c>
      <c r="K257" s="4">
        <f t="shared" si="21"/>
        <v>59.91</v>
      </c>
      <c r="L257" s="4">
        <v>61.07</v>
      </c>
      <c r="M257" s="4">
        <f t="shared" si="20"/>
        <v>62.905499999999996</v>
      </c>
      <c r="N257" s="4">
        <f t="shared" si="23"/>
        <v>62.905499999999996</v>
      </c>
      <c r="O257" s="6">
        <v>62.97</v>
      </c>
      <c r="P257" s="4">
        <f t="shared" si="22"/>
        <v>44.932499999999997</v>
      </c>
    </row>
    <row r="258" spans="1:16" x14ac:dyDescent="0.2">
      <c r="A258" s="2" t="s">
        <v>547</v>
      </c>
      <c r="B258" s="2" t="s">
        <v>548</v>
      </c>
      <c r="C258" s="3" t="s">
        <v>24</v>
      </c>
      <c r="D258" s="4">
        <v>30.5</v>
      </c>
      <c r="E258" s="4">
        <v>31.26</v>
      </c>
      <c r="F258" s="4">
        <v>31.26</v>
      </c>
      <c r="G258" s="4">
        <v>31.26</v>
      </c>
      <c r="H258" s="5">
        <v>30.38</v>
      </c>
      <c r="I258" s="4">
        <v>34.840000000000003</v>
      </c>
      <c r="J258" s="4">
        <v>31.3</v>
      </c>
      <c r="K258" s="4">
        <f t="shared" si="21"/>
        <v>31.26</v>
      </c>
      <c r="L258" s="4">
        <v>31.3</v>
      </c>
      <c r="M258" s="4">
        <f t="shared" si="20"/>
        <v>32.823</v>
      </c>
      <c r="N258" s="4">
        <f t="shared" si="23"/>
        <v>32.823</v>
      </c>
      <c r="O258" s="6">
        <v>30</v>
      </c>
      <c r="P258" s="4">
        <f t="shared" si="22"/>
        <v>23.445</v>
      </c>
    </row>
    <row r="259" spans="1:16" x14ac:dyDescent="0.2">
      <c r="A259" s="2" t="s">
        <v>549</v>
      </c>
      <c r="B259" s="2" t="s">
        <v>550</v>
      </c>
      <c r="C259" s="3" t="s">
        <v>551</v>
      </c>
      <c r="D259" s="4">
        <v>212.31</v>
      </c>
      <c r="E259" s="4">
        <v>221.49</v>
      </c>
      <c r="F259" s="4">
        <v>221.49</v>
      </c>
      <c r="G259" s="4">
        <v>221.49</v>
      </c>
      <c r="H259" s="5">
        <v>215.59</v>
      </c>
      <c r="I259" s="4">
        <v>246.26</v>
      </c>
      <c r="J259" s="4">
        <v>221.22</v>
      </c>
      <c r="K259" s="4">
        <f t="shared" si="21"/>
        <v>221.49</v>
      </c>
      <c r="L259" s="4">
        <v>221.22</v>
      </c>
      <c r="M259" s="4">
        <f t="shared" si="20"/>
        <v>232.56450000000001</v>
      </c>
      <c r="N259" s="4">
        <f t="shared" si="23"/>
        <v>232.56450000000001</v>
      </c>
      <c r="O259" s="6">
        <v>216.74</v>
      </c>
      <c r="P259" s="4">
        <f t="shared" si="22"/>
        <v>166.11750000000001</v>
      </c>
    </row>
    <row r="260" spans="1:16" x14ac:dyDescent="0.2">
      <c r="A260" s="2" t="s">
        <v>552</v>
      </c>
      <c r="B260" s="2" t="s">
        <v>553</v>
      </c>
      <c r="C260" s="3" t="s">
        <v>24</v>
      </c>
      <c r="D260" s="4">
        <v>4.87</v>
      </c>
      <c r="E260" s="4">
        <v>5.15</v>
      </c>
      <c r="F260" s="4">
        <v>5.15</v>
      </c>
      <c r="G260" s="4">
        <v>5.15</v>
      </c>
      <c r="H260" s="5">
        <v>3.72</v>
      </c>
      <c r="I260" s="4">
        <v>5.77</v>
      </c>
      <c r="J260" s="4">
        <v>5.18</v>
      </c>
      <c r="K260" s="4">
        <f t="shared" si="21"/>
        <v>5.15</v>
      </c>
      <c r="L260" s="4">
        <v>5.18</v>
      </c>
      <c r="M260" s="4">
        <f t="shared" si="20"/>
        <v>5.4075000000000006</v>
      </c>
      <c r="N260" s="4">
        <f t="shared" si="23"/>
        <v>5.4075000000000006</v>
      </c>
      <c r="O260" s="6">
        <v>5.29</v>
      </c>
      <c r="P260" s="4">
        <f t="shared" si="22"/>
        <v>3.8625000000000003</v>
      </c>
    </row>
    <row r="261" spans="1:16" x14ac:dyDescent="0.2">
      <c r="A261" s="2" t="s">
        <v>554</v>
      </c>
      <c r="B261" s="2" t="s">
        <v>555</v>
      </c>
      <c r="C261" s="3" t="s">
        <v>24</v>
      </c>
      <c r="D261" s="4">
        <v>9.85</v>
      </c>
      <c r="E261" s="4">
        <v>8.11</v>
      </c>
      <c r="F261" s="4">
        <v>8.11</v>
      </c>
      <c r="G261" s="4">
        <v>8.11</v>
      </c>
      <c r="H261" s="5">
        <v>7.76</v>
      </c>
      <c r="I261" s="4">
        <v>9.07</v>
      </c>
      <c r="J261" s="4">
        <v>8.15</v>
      </c>
      <c r="K261" s="4">
        <f t="shared" si="21"/>
        <v>8.11</v>
      </c>
      <c r="L261" s="4">
        <v>8.15</v>
      </c>
      <c r="M261" s="4">
        <f t="shared" si="20"/>
        <v>8.5154999999999994</v>
      </c>
      <c r="N261" s="4">
        <f t="shared" si="23"/>
        <v>8.5154999999999994</v>
      </c>
      <c r="O261" s="6">
        <v>7.86</v>
      </c>
      <c r="P261" s="4">
        <f t="shared" si="22"/>
        <v>6.0824999999999996</v>
      </c>
    </row>
    <row r="262" spans="1:16" x14ac:dyDescent="0.2">
      <c r="A262" s="2" t="s">
        <v>556</v>
      </c>
      <c r="B262" s="2" t="s">
        <v>557</v>
      </c>
      <c r="C262" s="3" t="s">
        <v>51</v>
      </c>
      <c r="D262" s="4">
        <v>33.36</v>
      </c>
      <c r="E262" s="4">
        <v>34.5</v>
      </c>
      <c r="F262" s="4">
        <v>34.5</v>
      </c>
      <c r="G262" s="4">
        <v>34.5</v>
      </c>
      <c r="H262" s="5">
        <v>34.08</v>
      </c>
      <c r="I262" s="4">
        <v>38.49</v>
      </c>
      <c r="J262" s="4">
        <v>34.58</v>
      </c>
      <c r="K262" s="4">
        <f t="shared" si="21"/>
        <v>34.5</v>
      </c>
      <c r="L262" s="4">
        <v>34.57</v>
      </c>
      <c r="M262" s="4">
        <f t="shared" si="20"/>
        <v>36.225000000000001</v>
      </c>
      <c r="N262" s="4">
        <f t="shared" si="23"/>
        <v>36.225000000000001</v>
      </c>
      <c r="O262" s="6">
        <v>33.270000000000003</v>
      </c>
      <c r="P262" s="4">
        <f t="shared" si="22"/>
        <v>25.875</v>
      </c>
    </row>
    <row r="263" spans="1:16" x14ac:dyDescent="0.2">
      <c r="A263" s="2" t="s">
        <v>558</v>
      </c>
      <c r="B263" s="2" t="s">
        <v>559</v>
      </c>
      <c r="C263" s="3" t="s">
        <v>24</v>
      </c>
      <c r="D263" s="4">
        <v>31.95</v>
      </c>
      <c r="E263" s="4">
        <v>33.57</v>
      </c>
      <c r="F263" s="4">
        <v>33.57</v>
      </c>
      <c r="G263" s="4">
        <v>33.57</v>
      </c>
      <c r="H263" s="5">
        <v>31.67</v>
      </c>
      <c r="I263" s="4">
        <v>37.369999999999997</v>
      </c>
      <c r="J263" s="4">
        <v>33.57</v>
      </c>
      <c r="K263" s="4">
        <f t="shared" si="21"/>
        <v>33.57</v>
      </c>
      <c r="L263" s="4">
        <v>33.57</v>
      </c>
      <c r="M263" s="4">
        <f t="shared" si="20"/>
        <v>35.2485</v>
      </c>
      <c r="N263" s="4">
        <f t="shared" si="23"/>
        <v>35.2485</v>
      </c>
      <c r="O263" s="6">
        <v>38</v>
      </c>
      <c r="P263" s="4">
        <f t="shared" si="22"/>
        <v>25.177500000000002</v>
      </c>
    </row>
    <row r="264" spans="1:16" x14ac:dyDescent="0.2">
      <c r="A264" s="2" t="s">
        <v>560</v>
      </c>
      <c r="B264" s="2" t="s">
        <v>561</v>
      </c>
      <c r="C264" s="3" t="s">
        <v>18</v>
      </c>
      <c r="D264" s="4">
        <v>11.95</v>
      </c>
      <c r="E264" s="4">
        <v>4.97</v>
      </c>
      <c r="F264" s="4">
        <v>4.97</v>
      </c>
      <c r="G264" s="4">
        <v>4.97</v>
      </c>
      <c r="H264" s="5">
        <v>18.14</v>
      </c>
      <c r="I264" s="4">
        <v>29.04</v>
      </c>
      <c r="J264" s="4">
        <v>5.44</v>
      </c>
      <c r="K264" s="4">
        <f t="shared" si="21"/>
        <v>4.97</v>
      </c>
      <c r="L264" s="4">
        <v>5.44</v>
      </c>
      <c r="M264" s="4">
        <f t="shared" si="20"/>
        <v>5.2184999999999997</v>
      </c>
      <c r="N264" s="4">
        <f t="shared" si="23"/>
        <v>5.2184999999999997</v>
      </c>
      <c r="O264" s="6">
        <v>6.5</v>
      </c>
      <c r="P264" s="4">
        <f t="shared" si="22"/>
        <v>3.7275</v>
      </c>
    </row>
    <row r="265" spans="1:16" x14ac:dyDescent="0.2">
      <c r="A265" s="2" t="s">
        <v>562</v>
      </c>
      <c r="B265" s="2" t="s">
        <v>563</v>
      </c>
      <c r="C265" s="3" t="s">
        <v>564</v>
      </c>
      <c r="D265" s="4">
        <v>12.47</v>
      </c>
      <c r="E265" s="4">
        <v>27.11</v>
      </c>
      <c r="F265" s="4">
        <v>27.11</v>
      </c>
      <c r="G265" s="4">
        <v>27.11</v>
      </c>
      <c r="H265" s="5">
        <v>52.79</v>
      </c>
      <c r="I265" s="4">
        <v>30.18</v>
      </c>
      <c r="J265" s="4">
        <v>27.11</v>
      </c>
      <c r="K265" s="4">
        <f t="shared" si="21"/>
        <v>27.11</v>
      </c>
      <c r="L265" s="4">
        <v>27.11</v>
      </c>
      <c r="M265" s="4">
        <f t="shared" si="20"/>
        <v>28.465500000000002</v>
      </c>
      <c r="N265" s="4">
        <f t="shared" si="23"/>
        <v>28.465500000000002</v>
      </c>
      <c r="O265" s="6">
        <v>3.32</v>
      </c>
      <c r="P265" s="4">
        <f t="shared" si="22"/>
        <v>20.3325</v>
      </c>
    </row>
    <row r="266" spans="1:16" x14ac:dyDescent="0.2">
      <c r="A266" s="2" t="s">
        <v>565</v>
      </c>
      <c r="B266" s="2" t="s">
        <v>566</v>
      </c>
      <c r="C266" s="3" t="s">
        <v>564</v>
      </c>
      <c r="D266" s="4">
        <v>4.79</v>
      </c>
      <c r="E266" s="4">
        <v>4.9400000000000004</v>
      </c>
      <c r="F266" s="4">
        <v>4.9400000000000004</v>
      </c>
      <c r="G266" s="4">
        <v>4.9400000000000004</v>
      </c>
      <c r="H266" s="5">
        <v>7.76</v>
      </c>
      <c r="I266" s="4">
        <v>6.37</v>
      </c>
      <c r="J266" s="4">
        <v>5.72</v>
      </c>
      <c r="K266" s="4">
        <f t="shared" si="21"/>
        <v>4.9400000000000004</v>
      </c>
      <c r="L266" s="4">
        <v>5.72</v>
      </c>
      <c r="M266" s="4">
        <f t="shared" si="20"/>
        <v>5.1870000000000003</v>
      </c>
      <c r="N266" s="4">
        <f t="shared" si="23"/>
        <v>5.1870000000000003</v>
      </c>
      <c r="O266" s="6">
        <v>6.98</v>
      </c>
      <c r="P266" s="4">
        <f t="shared" si="22"/>
        <v>3.7050000000000001</v>
      </c>
    </row>
    <row r="267" spans="1:16" x14ac:dyDescent="0.2">
      <c r="A267" s="2" t="s">
        <v>567</v>
      </c>
      <c r="B267" s="2" t="s">
        <v>568</v>
      </c>
      <c r="C267" s="3" t="s">
        <v>24</v>
      </c>
      <c r="D267" s="4">
        <v>7.72</v>
      </c>
      <c r="E267" s="4">
        <v>8.61</v>
      </c>
      <c r="F267" s="4">
        <v>8.61</v>
      </c>
      <c r="G267" s="4">
        <v>8.61</v>
      </c>
      <c r="H267" s="5">
        <v>15.89</v>
      </c>
      <c r="I267" s="4">
        <v>8.0399999999999991</v>
      </c>
      <c r="J267" s="4">
        <v>7.22</v>
      </c>
      <c r="K267" s="4">
        <f t="shared" si="21"/>
        <v>8.61</v>
      </c>
      <c r="L267" s="4">
        <v>7.22</v>
      </c>
      <c r="M267" s="4">
        <f t="shared" si="20"/>
        <v>9.0404999999999998</v>
      </c>
      <c r="N267" s="4">
        <f t="shared" si="23"/>
        <v>9.0404999999999998</v>
      </c>
      <c r="O267" s="6">
        <v>7.98</v>
      </c>
      <c r="P267" s="4">
        <f t="shared" si="22"/>
        <v>6.4574999999999996</v>
      </c>
    </row>
    <row r="268" spans="1:16" x14ac:dyDescent="0.2">
      <c r="A268" s="11" t="s">
        <v>569</v>
      </c>
      <c r="B268" s="11" t="s">
        <v>570</v>
      </c>
      <c r="C268" s="3" t="s">
        <v>24</v>
      </c>
      <c r="D268" s="9" t="s">
        <v>35</v>
      </c>
      <c r="E268" s="4" t="s">
        <v>36</v>
      </c>
      <c r="F268" s="4" t="s">
        <v>36</v>
      </c>
      <c r="G268" s="4" t="s">
        <v>36</v>
      </c>
      <c r="H268" s="5" t="s">
        <v>36</v>
      </c>
      <c r="I268" s="4" t="s">
        <v>36</v>
      </c>
      <c r="J268" s="4" t="s">
        <v>36</v>
      </c>
      <c r="K268" s="4" t="s">
        <v>36</v>
      </c>
      <c r="L268" s="4" t="s">
        <v>36</v>
      </c>
      <c r="M268" s="4" t="s">
        <v>36</v>
      </c>
      <c r="N268" s="4" t="s">
        <v>36</v>
      </c>
      <c r="O268" s="7" t="s">
        <v>32</v>
      </c>
      <c r="P268" s="4" t="s">
        <v>36</v>
      </c>
    </row>
    <row r="269" spans="1:16" x14ac:dyDescent="0.2">
      <c r="A269" s="11" t="s">
        <v>571</v>
      </c>
      <c r="B269" s="11" t="s">
        <v>572</v>
      </c>
      <c r="C269" s="3">
        <v>1</v>
      </c>
      <c r="D269" s="4">
        <v>249.73</v>
      </c>
      <c r="E269" s="4">
        <v>257.5</v>
      </c>
      <c r="F269" s="4" t="e">
        <f>#REF!*0.35</f>
        <v>#REF!</v>
      </c>
      <c r="G269" s="4" t="e">
        <f>#REF!*0.4</f>
        <v>#REF!</v>
      </c>
      <c r="H269" s="5">
        <v>250</v>
      </c>
      <c r="I269" s="4" t="e">
        <f>#REF!*0.4</f>
        <v>#REF!</v>
      </c>
      <c r="J269" s="4">
        <v>255</v>
      </c>
      <c r="K269" s="4">
        <v>250</v>
      </c>
      <c r="L269" s="4">
        <v>250</v>
      </c>
      <c r="M269" s="4">
        <v>249.73</v>
      </c>
      <c r="N269" s="4" t="e">
        <f>#REF!*0.2</f>
        <v>#REF!</v>
      </c>
      <c r="O269" s="7" t="s">
        <v>32</v>
      </c>
      <c r="P269" s="4">
        <f t="shared" si="22"/>
        <v>193.125</v>
      </c>
    </row>
    <row r="270" spans="1:16" x14ac:dyDescent="0.2">
      <c r="A270" s="8" t="s">
        <v>571</v>
      </c>
      <c r="B270" s="8" t="s">
        <v>573</v>
      </c>
      <c r="C270" s="3">
        <v>1</v>
      </c>
      <c r="D270" s="4" t="s">
        <v>36</v>
      </c>
      <c r="E270" s="4" t="s">
        <v>36</v>
      </c>
      <c r="F270" s="4" t="s">
        <v>36</v>
      </c>
      <c r="G270" s="4" t="s">
        <v>36</v>
      </c>
      <c r="H270" s="5" t="s">
        <v>36</v>
      </c>
      <c r="I270" s="4" t="s">
        <v>36</v>
      </c>
      <c r="J270" s="4" t="s">
        <v>36</v>
      </c>
      <c r="K270" s="4" t="s">
        <v>36</v>
      </c>
      <c r="L270" s="4" t="s">
        <v>36</v>
      </c>
      <c r="M270" s="4" t="s">
        <v>36</v>
      </c>
      <c r="N270" s="4" t="s">
        <v>36</v>
      </c>
      <c r="O270" s="7" t="s">
        <v>32</v>
      </c>
      <c r="P270" s="4" t="s">
        <v>36</v>
      </c>
    </row>
    <row r="271" spans="1:16" x14ac:dyDescent="0.2">
      <c r="A271" s="2" t="s">
        <v>574</v>
      </c>
      <c r="B271" s="2" t="s">
        <v>575</v>
      </c>
      <c r="C271" s="3" t="s">
        <v>576</v>
      </c>
      <c r="D271" s="4">
        <v>27.07</v>
      </c>
      <c r="E271" s="4">
        <v>21.23</v>
      </c>
      <c r="F271" s="4">
        <v>21.23</v>
      </c>
      <c r="G271" s="4">
        <v>21.23</v>
      </c>
      <c r="H271" s="5">
        <v>24.88</v>
      </c>
      <c r="I271" s="4">
        <v>21.23</v>
      </c>
      <c r="J271" s="4">
        <v>21.23</v>
      </c>
      <c r="K271" s="4">
        <f>E271</f>
        <v>21.23</v>
      </c>
      <c r="L271" s="4">
        <v>28.35</v>
      </c>
      <c r="M271" s="4">
        <f t="shared" ref="M271:M319" si="24">E271*1.05</f>
        <v>22.291500000000003</v>
      </c>
      <c r="N271" s="4">
        <f>E271*1.05</f>
        <v>22.291500000000003</v>
      </c>
      <c r="O271" s="6">
        <v>21.23</v>
      </c>
      <c r="P271" s="4">
        <f t="shared" si="22"/>
        <v>15.922499999999999</v>
      </c>
    </row>
    <row r="272" spans="1:16" x14ac:dyDescent="0.2">
      <c r="A272" s="11" t="s">
        <v>577</v>
      </c>
      <c r="B272" s="11" t="s">
        <v>578</v>
      </c>
      <c r="C272" s="3" t="s">
        <v>579</v>
      </c>
      <c r="D272" s="9" t="s">
        <v>35</v>
      </c>
      <c r="E272" s="4">
        <v>53.08</v>
      </c>
      <c r="F272" s="4">
        <v>53.08</v>
      </c>
      <c r="G272" s="4">
        <v>53.08</v>
      </c>
      <c r="H272" s="5">
        <v>62.21</v>
      </c>
      <c r="I272" s="4">
        <v>53.08</v>
      </c>
      <c r="J272" s="4">
        <v>53.08</v>
      </c>
      <c r="K272" s="4">
        <f t="shared" ref="K272:K308" si="25">E272</f>
        <v>53.08</v>
      </c>
      <c r="L272" s="4">
        <v>45.9</v>
      </c>
      <c r="M272" s="4">
        <f t="shared" si="24"/>
        <v>55.734000000000002</v>
      </c>
      <c r="N272" s="4">
        <f t="shared" ref="N272:N319" si="26">E272*1.05</f>
        <v>55.734000000000002</v>
      </c>
      <c r="O272" s="6">
        <v>53.08</v>
      </c>
      <c r="P272" s="4">
        <f t="shared" si="22"/>
        <v>39.81</v>
      </c>
    </row>
    <row r="273" spans="1:16" x14ac:dyDescent="0.2">
      <c r="A273" s="2" t="s">
        <v>580</v>
      </c>
      <c r="B273" s="2" t="s">
        <v>581</v>
      </c>
      <c r="C273" s="3" t="s">
        <v>24</v>
      </c>
      <c r="D273" s="17">
        <v>0.35</v>
      </c>
      <c r="E273" s="4">
        <v>0.23</v>
      </c>
      <c r="F273" s="4">
        <v>0.23</v>
      </c>
      <c r="G273" s="4">
        <v>0.23</v>
      </c>
      <c r="H273" s="5">
        <v>0.37</v>
      </c>
      <c r="I273" s="4">
        <v>0.36</v>
      </c>
      <c r="J273" s="4">
        <v>0.36</v>
      </c>
      <c r="K273" s="4">
        <f t="shared" si="25"/>
        <v>0.23</v>
      </c>
      <c r="L273" s="4">
        <v>0.36</v>
      </c>
      <c r="M273" s="4">
        <f t="shared" si="24"/>
        <v>0.24150000000000002</v>
      </c>
      <c r="N273" s="4">
        <f t="shared" si="26"/>
        <v>0.24150000000000002</v>
      </c>
      <c r="O273" s="6">
        <v>0.31</v>
      </c>
      <c r="P273" s="4">
        <f t="shared" si="22"/>
        <v>0.17250000000000001</v>
      </c>
    </row>
    <row r="274" spans="1:16" x14ac:dyDescent="0.2">
      <c r="A274" s="2" t="s">
        <v>580</v>
      </c>
      <c r="B274" s="2" t="s">
        <v>582</v>
      </c>
      <c r="C274" s="3" t="s">
        <v>24</v>
      </c>
      <c r="D274" s="17">
        <v>0.63</v>
      </c>
      <c r="E274" s="4">
        <v>0.23</v>
      </c>
      <c r="F274" s="4">
        <v>0.23</v>
      </c>
      <c r="G274" s="4">
        <v>0.23</v>
      </c>
      <c r="H274" s="5">
        <v>0.37</v>
      </c>
      <c r="I274" s="4">
        <v>0.36</v>
      </c>
      <c r="J274" s="4">
        <v>0.36</v>
      </c>
      <c r="K274" s="4">
        <f t="shared" si="25"/>
        <v>0.23</v>
      </c>
      <c r="L274" s="4">
        <v>0.36</v>
      </c>
      <c r="M274" s="4">
        <f t="shared" si="24"/>
        <v>0.24150000000000002</v>
      </c>
      <c r="N274" s="4">
        <f t="shared" si="26"/>
        <v>0.24150000000000002</v>
      </c>
      <c r="O274" s="6">
        <v>0.31</v>
      </c>
      <c r="P274" s="4">
        <f t="shared" si="22"/>
        <v>0.17250000000000001</v>
      </c>
    </row>
    <row r="275" spans="1:16" x14ac:dyDescent="0.2">
      <c r="A275" s="2" t="s">
        <v>583</v>
      </c>
      <c r="B275" s="2" t="s">
        <v>584</v>
      </c>
      <c r="C275" s="3">
        <v>1</v>
      </c>
      <c r="D275" s="17" t="s">
        <v>585</v>
      </c>
      <c r="E275" s="4">
        <v>56269.19</v>
      </c>
      <c r="F275" s="4">
        <v>56269.19</v>
      </c>
      <c r="G275" s="4">
        <v>56269.19</v>
      </c>
      <c r="H275" s="5">
        <v>63228.55</v>
      </c>
      <c r="I275" s="4">
        <v>30000</v>
      </c>
      <c r="J275" s="4">
        <v>54404.11</v>
      </c>
      <c r="K275" s="4">
        <f t="shared" si="25"/>
        <v>56269.19</v>
      </c>
      <c r="L275" s="4">
        <v>54404.11</v>
      </c>
      <c r="M275" s="4">
        <f t="shared" si="24"/>
        <v>59082.649500000007</v>
      </c>
      <c r="N275" s="4">
        <f t="shared" si="26"/>
        <v>59082.649500000007</v>
      </c>
      <c r="O275" s="6">
        <v>55945.97</v>
      </c>
      <c r="P275" s="4">
        <f t="shared" si="22"/>
        <v>42201.892500000002</v>
      </c>
    </row>
    <row r="276" spans="1:16" x14ac:dyDescent="0.2">
      <c r="A276" s="2" t="s">
        <v>586</v>
      </c>
      <c r="B276" s="2" t="s">
        <v>587</v>
      </c>
      <c r="C276" s="3" t="s">
        <v>18</v>
      </c>
      <c r="D276" s="4">
        <v>69.94</v>
      </c>
      <c r="E276" s="4">
        <v>71.86</v>
      </c>
      <c r="F276" s="4">
        <v>71.86</v>
      </c>
      <c r="G276" s="4">
        <v>71.86</v>
      </c>
      <c r="H276" s="5">
        <v>113.24</v>
      </c>
      <c r="I276" s="4">
        <v>115.78</v>
      </c>
      <c r="J276" s="4">
        <v>104.01</v>
      </c>
      <c r="K276" s="4">
        <f t="shared" si="25"/>
        <v>71.86</v>
      </c>
      <c r="L276" s="4">
        <v>104.01</v>
      </c>
      <c r="M276" s="4">
        <f t="shared" si="24"/>
        <v>75.453000000000003</v>
      </c>
      <c r="N276" s="4">
        <f t="shared" si="26"/>
        <v>75.453000000000003</v>
      </c>
      <c r="O276" s="6">
        <v>109.28</v>
      </c>
      <c r="P276" s="4">
        <f t="shared" si="22"/>
        <v>53.894999999999996</v>
      </c>
    </row>
    <row r="277" spans="1:16" x14ac:dyDescent="0.2">
      <c r="A277" s="15" t="s">
        <v>588</v>
      </c>
      <c r="B277" s="15" t="s">
        <v>589</v>
      </c>
      <c r="C277" s="16" t="s">
        <v>63</v>
      </c>
      <c r="D277" s="17">
        <v>0.5</v>
      </c>
      <c r="E277" s="17">
        <v>0.35</v>
      </c>
      <c r="F277" s="17">
        <v>0.35</v>
      </c>
      <c r="G277" s="17">
        <v>0.35</v>
      </c>
      <c r="H277" s="5">
        <v>0.34</v>
      </c>
      <c r="I277" s="18">
        <v>0.39</v>
      </c>
      <c r="J277" s="17">
        <v>0.35</v>
      </c>
      <c r="K277" s="4">
        <f t="shared" si="25"/>
        <v>0.35</v>
      </c>
      <c r="L277" s="18">
        <v>0.35</v>
      </c>
      <c r="M277" s="4">
        <f t="shared" si="24"/>
        <v>0.36749999999999999</v>
      </c>
      <c r="N277" s="4">
        <f t="shared" si="26"/>
        <v>0.36749999999999999</v>
      </c>
      <c r="O277" s="18">
        <v>0.37</v>
      </c>
      <c r="P277" s="4">
        <f t="shared" si="22"/>
        <v>0.26249999999999996</v>
      </c>
    </row>
    <row r="278" spans="1:16" x14ac:dyDescent="0.2">
      <c r="A278" s="15" t="s">
        <v>590</v>
      </c>
      <c r="B278" s="15" t="s">
        <v>591</v>
      </c>
      <c r="C278" s="16" t="s">
        <v>18</v>
      </c>
      <c r="D278" s="17">
        <v>40.5</v>
      </c>
      <c r="E278" s="18">
        <v>26.035</v>
      </c>
      <c r="F278" s="18">
        <v>26.035</v>
      </c>
      <c r="G278" s="18">
        <v>26.035</v>
      </c>
      <c r="H278" s="5">
        <v>17.690000000000001</v>
      </c>
      <c r="I278" s="18">
        <v>40.090000000000003</v>
      </c>
      <c r="J278" s="18">
        <v>32.42</v>
      </c>
      <c r="K278" s="4">
        <f t="shared" si="25"/>
        <v>26.035</v>
      </c>
      <c r="L278" s="18">
        <v>24.22</v>
      </c>
      <c r="M278" s="4">
        <f t="shared" si="24"/>
        <v>27.336750000000002</v>
      </c>
      <c r="N278" s="4">
        <f t="shared" si="26"/>
        <v>27.336750000000002</v>
      </c>
      <c r="O278" s="18">
        <v>11.55</v>
      </c>
      <c r="P278" s="4">
        <f t="shared" si="22"/>
        <v>19.526250000000001</v>
      </c>
    </row>
    <row r="279" spans="1:16" x14ac:dyDescent="0.2">
      <c r="A279" s="15" t="s">
        <v>592</v>
      </c>
      <c r="B279" s="15" t="s">
        <v>593</v>
      </c>
      <c r="C279" s="16" t="s">
        <v>18</v>
      </c>
      <c r="D279" s="17">
        <v>28.31</v>
      </c>
      <c r="E279" s="18">
        <v>26.8</v>
      </c>
      <c r="F279" s="18">
        <v>26.8</v>
      </c>
      <c r="G279" s="18">
        <v>26.8</v>
      </c>
      <c r="H279" s="5">
        <v>28.1</v>
      </c>
      <c r="I279" s="18">
        <v>27.75</v>
      </c>
      <c r="J279" s="18">
        <v>27.75</v>
      </c>
      <c r="K279" s="4">
        <f t="shared" si="25"/>
        <v>26.8</v>
      </c>
      <c r="L279" s="18">
        <v>27.75</v>
      </c>
      <c r="M279" s="4">
        <f t="shared" si="24"/>
        <v>28.14</v>
      </c>
      <c r="N279" s="4">
        <f t="shared" si="26"/>
        <v>28.14</v>
      </c>
      <c r="O279" s="18">
        <v>25.05</v>
      </c>
      <c r="P279" s="4">
        <f t="shared" si="22"/>
        <v>20.100000000000001</v>
      </c>
    </row>
    <row r="280" spans="1:16" x14ac:dyDescent="0.2">
      <c r="A280" s="15" t="s">
        <v>594</v>
      </c>
      <c r="B280" s="15" t="s">
        <v>595</v>
      </c>
      <c r="C280" s="16" t="s">
        <v>596</v>
      </c>
      <c r="D280" s="17">
        <v>7.87</v>
      </c>
      <c r="E280" s="18">
        <v>7.88</v>
      </c>
      <c r="F280" s="18">
        <v>7.88</v>
      </c>
      <c r="G280" s="18">
        <v>7.88</v>
      </c>
      <c r="H280" s="5">
        <v>7.84</v>
      </c>
      <c r="I280" s="18">
        <v>8.43</v>
      </c>
      <c r="J280" s="18">
        <v>7.57</v>
      </c>
      <c r="K280" s="4">
        <f t="shared" si="25"/>
        <v>7.88</v>
      </c>
      <c r="L280" s="18">
        <v>7.57</v>
      </c>
      <c r="M280" s="4">
        <f t="shared" si="24"/>
        <v>8.2740000000000009</v>
      </c>
      <c r="N280" s="4">
        <f t="shared" si="26"/>
        <v>8.2740000000000009</v>
      </c>
      <c r="O280" s="18">
        <v>7.57</v>
      </c>
      <c r="P280" s="4">
        <f t="shared" si="22"/>
        <v>5.91</v>
      </c>
    </row>
    <row r="281" spans="1:16" x14ac:dyDescent="0.2">
      <c r="A281" s="15" t="s">
        <v>597</v>
      </c>
      <c r="B281" s="15" t="s">
        <v>598</v>
      </c>
      <c r="C281" s="16" t="s">
        <v>18</v>
      </c>
      <c r="D281" s="17">
        <v>23.84</v>
      </c>
      <c r="E281" s="18">
        <v>23.734999999999999</v>
      </c>
      <c r="F281" s="18">
        <v>23.734999999999999</v>
      </c>
      <c r="G281" s="18">
        <v>23.734999999999999</v>
      </c>
      <c r="H281" s="5">
        <v>32.43</v>
      </c>
      <c r="I281" s="18">
        <v>26.54</v>
      </c>
      <c r="J281" s="18">
        <v>23.84</v>
      </c>
      <c r="K281" s="4">
        <f t="shared" si="25"/>
        <v>23.734999999999999</v>
      </c>
      <c r="L281" s="18">
        <v>23.84</v>
      </c>
      <c r="M281" s="4">
        <f t="shared" si="24"/>
        <v>24.921749999999999</v>
      </c>
      <c r="N281" s="4">
        <f t="shared" si="26"/>
        <v>24.921749999999999</v>
      </c>
      <c r="O281" s="18">
        <v>28.85</v>
      </c>
      <c r="P281" s="4">
        <f t="shared" si="22"/>
        <v>17.80125</v>
      </c>
    </row>
    <row r="282" spans="1:16" x14ac:dyDescent="0.2">
      <c r="A282" s="15" t="s">
        <v>599</v>
      </c>
      <c r="B282" s="15" t="s">
        <v>600</v>
      </c>
      <c r="C282" s="16" t="s">
        <v>51</v>
      </c>
      <c r="D282" s="17">
        <v>112.5</v>
      </c>
      <c r="E282" s="18">
        <v>79.5</v>
      </c>
      <c r="F282" s="18">
        <v>79.5</v>
      </c>
      <c r="G282" s="18">
        <v>79.5</v>
      </c>
      <c r="H282" s="5">
        <v>138.46</v>
      </c>
      <c r="I282" s="18">
        <v>110.06</v>
      </c>
      <c r="J282" s="18">
        <v>98.87</v>
      </c>
      <c r="K282" s="4">
        <f t="shared" si="25"/>
        <v>79.5</v>
      </c>
      <c r="L282" s="18">
        <v>98.87</v>
      </c>
      <c r="M282" s="4">
        <f t="shared" si="24"/>
        <v>83.475000000000009</v>
      </c>
      <c r="N282" s="4">
        <f t="shared" si="26"/>
        <v>83.475000000000009</v>
      </c>
      <c r="O282" s="18">
        <v>103.71</v>
      </c>
      <c r="P282" s="4">
        <f t="shared" si="22"/>
        <v>59.625</v>
      </c>
    </row>
    <row r="283" spans="1:16" x14ac:dyDescent="0.2">
      <c r="A283" s="15" t="s">
        <v>601</v>
      </c>
      <c r="B283" s="15" t="s">
        <v>602</v>
      </c>
      <c r="C283" s="16" t="s">
        <v>63</v>
      </c>
      <c r="D283" s="17">
        <v>0.28000000000000003</v>
      </c>
      <c r="E283" s="18">
        <v>0.28000000000000003</v>
      </c>
      <c r="F283" s="18">
        <v>0.28000000000000003</v>
      </c>
      <c r="G283" s="18">
        <v>0.28000000000000003</v>
      </c>
      <c r="H283" s="5">
        <v>0.28000000000000003</v>
      </c>
      <c r="I283" s="18">
        <v>0.31</v>
      </c>
      <c r="J283" s="18">
        <v>0.28000000000000003</v>
      </c>
      <c r="K283" s="4">
        <f t="shared" si="25"/>
        <v>0.28000000000000003</v>
      </c>
      <c r="L283" s="18">
        <v>0.28000000000000003</v>
      </c>
      <c r="M283" s="4">
        <f t="shared" si="24"/>
        <v>0.29400000000000004</v>
      </c>
      <c r="N283" s="4">
        <f t="shared" si="26"/>
        <v>0.29400000000000004</v>
      </c>
      <c r="O283" s="18">
        <v>0.28999999999999998</v>
      </c>
      <c r="P283" s="4">
        <f t="shared" si="22"/>
        <v>0.21000000000000002</v>
      </c>
    </row>
    <row r="284" spans="1:16" x14ac:dyDescent="0.2">
      <c r="A284" s="15" t="s">
        <v>603</v>
      </c>
      <c r="B284" s="15" t="s">
        <v>604</v>
      </c>
      <c r="C284" s="16" t="s">
        <v>51</v>
      </c>
      <c r="D284" s="17">
        <v>133.71</v>
      </c>
      <c r="E284" s="18">
        <v>135.88999999999999</v>
      </c>
      <c r="F284" s="18">
        <v>135.88999999999999</v>
      </c>
      <c r="G284" s="18">
        <v>135.88999999999999</v>
      </c>
      <c r="H284" s="5">
        <v>185.21</v>
      </c>
      <c r="I284" s="18">
        <v>180.33</v>
      </c>
      <c r="J284" s="18">
        <v>161.99</v>
      </c>
      <c r="K284" s="4">
        <f t="shared" si="25"/>
        <v>135.88999999999999</v>
      </c>
      <c r="L284" s="18">
        <v>161.99</v>
      </c>
      <c r="M284" s="4">
        <f t="shared" si="24"/>
        <v>142.68449999999999</v>
      </c>
      <c r="N284" s="4">
        <f t="shared" si="26"/>
        <v>142.68449999999999</v>
      </c>
      <c r="O284" s="18">
        <v>136.04</v>
      </c>
      <c r="P284" s="4">
        <f t="shared" si="22"/>
        <v>101.91749999999999</v>
      </c>
    </row>
    <row r="285" spans="1:16" x14ac:dyDescent="0.2">
      <c r="A285" s="15" t="s">
        <v>605</v>
      </c>
      <c r="B285" s="15" t="s">
        <v>606</v>
      </c>
      <c r="C285" s="16" t="s">
        <v>18</v>
      </c>
      <c r="D285" s="17">
        <v>28.45</v>
      </c>
      <c r="E285" s="18">
        <v>29.81</v>
      </c>
      <c r="F285" s="18">
        <v>29.81</v>
      </c>
      <c r="G285" s="18">
        <v>29.81</v>
      </c>
      <c r="H285" s="5">
        <v>28.32</v>
      </c>
      <c r="I285" s="18">
        <v>30.36</v>
      </c>
      <c r="J285" s="18">
        <v>27.27</v>
      </c>
      <c r="K285" s="4">
        <f t="shared" si="25"/>
        <v>29.81</v>
      </c>
      <c r="L285" s="18">
        <v>27.27</v>
      </c>
      <c r="M285" s="4">
        <f t="shared" si="24"/>
        <v>31.3005</v>
      </c>
      <c r="N285" s="4">
        <f t="shared" si="26"/>
        <v>31.3005</v>
      </c>
      <c r="O285" s="18">
        <v>21.99</v>
      </c>
      <c r="P285" s="4">
        <f t="shared" si="22"/>
        <v>22.357499999999998</v>
      </c>
    </row>
    <row r="286" spans="1:16" x14ac:dyDescent="0.2">
      <c r="A286" s="15" t="s">
        <v>607</v>
      </c>
      <c r="B286" s="15" t="s">
        <v>608</v>
      </c>
      <c r="C286" s="16" t="s">
        <v>18</v>
      </c>
      <c r="D286" s="17">
        <v>50.9</v>
      </c>
      <c r="E286" s="18">
        <v>56.02</v>
      </c>
      <c r="F286" s="18">
        <v>56.02</v>
      </c>
      <c r="G286" s="18">
        <v>56.02</v>
      </c>
      <c r="H286" s="5">
        <v>83.88</v>
      </c>
      <c r="I286" s="18">
        <v>61.71</v>
      </c>
      <c r="J286" s="18">
        <v>55.43</v>
      </c>
      <c r="K286" s="4">
        <f t="shared" si="25"/>
        <v>56.02</v>
      </c>
      <c r="L286" s="18">
        <v>55.43</v>
      </c>
      <c r="M286" s="4">
        <f t="shared" si="24"/>
        <v>58.821000000000005</v>
      </c>
      <c r="N286" s="4">
        <f t="shared" si="26"/>
        <v>58.821000000000005</v>
      </c>
      <c r="O286" s="18">
        <v>77.489999999999995</v>
      </c>
      <c r="P286" s="4">
        <f t="shared" si="22"/>
        <v>42.015000000000001</v>
      </c>
    </row>
    <row r="287" spans="1:16" x14ac:dyDescent="0.2">
      <c r="A287" s="15" t="s">
        <v>609</v>
      </c>
      <c r="B287" s="15" t="s">
        <v>610</v>
      </c>
      <c r="C287" s="16" t="s">
        <v>18</v>
      </c>
      <c r="D287" s="17">
        <v>50</v>
      </c>
      <c r="E287" s="18">
        <v>35.78</v>
      </c>
      <c r="F287" s="18">
        <v>35.78</v>
      </c>
      <c r="G287" s="18">
        <v>35.78</v>
      </c>
      <c r="H287" s="5">
        <v>50.56</v>
      </c>
      <c r="I287" s="18">
        <v>41.98</v>
      </c>
      <c r="J287" s="18">
        <v>37.71</v>
      </c>
      <c r="K287" s="4">
        <f t="shared" si="25"/>
        <v>35.78</v>
      </c>
      <c r="L287" s="18">
        <v>37.71</v>
      </c>
      <c r="M287" s="4">
        <f t="shared" si="24"/>
        <v>37.569000000000003</v>
      </c>
      <c r="N287" s="4">
        <f t="shared" si="26"/>
        <v>37.569000000000003</v>
      </c>
      <c r="O287" s="18">
        <v>44.59</v>
      </c>
      <c r="P287" s="4">
        <f t="shared" si="22"/>
        <v>26.835000000000001</v>
      </c>
    </row>
    <row r="288" spans="1:16" x14ac:dyDescent="0.2">
      <c r="A288" s="15" t="s">
        <v>611</v>
      </c>
      <c r="B288" s="15" t="s">
        <v>612</v>
      </c>
      <c r="C288" s="16" t="s">
        <v>18</v>
      </c>
      <c r="D288" s="17">
        <v>42.28</v>
      </c>
      <c r="E288" s="18">
        <v>31.28</v>
      </c>
      <c r="F288" s="18">
        <v>31.28</v>
      </c>
      <c r="G288" s="18">
        <v>31.28</v>
      </c>
      <c r="H288" s="5">
        <v>33.340000000000003</v>
      </c>
      <c r="I288" s="18">
        <v>47.37</v>
      </c>
      <c r="J288" s="18">
        <v>30.15</v>
      </c>
      <c r="K288" s="4">
        <f t="shared" si="25"/>
        <v>31.28</v>
      </c>
      <c r="L288" s="18">
        <v>30.15</v>
      </c>
      <c r="M288" s="4">
        <f t="shared" si="24"/>
        <v>32.844000000000001</v>
      </c>
      <c r="N288" s="4">
        <f t="shared" si="26"/>
        <v>32.844000000000001</v>
      </c>
      <c r="O288" s="18">
        <v>31.18</v>
      </c>
      <c r="P288" s="4">
        <f t="shared" si="22"/>
        <v>23.46</v>
      </c>
    </row>
    <row r="289" spans="1:16" x14ac:dyDescent="0.2">
      <c r="A289" s="15" t="s">
        <v>613</v>
      </c>
      <c r="B289" s="15" t="s">
        <v>614</v>
      </c>
      <c r="C289" s="16" t="s">
        <v>18</v>
      </c>
      <c r="D289" s="17">
        <v>39.29</v>
      </c>
      <c r="E289" s="18">
        <v>10.425000000000001</v>
      </c>
      <c r="F289" s="18">
        <v>10.425000000000001</v>
      </c>
      <c r="G289" s="18">
        <v>10.425000000000001</v>
      </c>
      <c r="H289" s="5">
        <v>25.61</v>
      </c>
      <c r="I289" s="18">
        <v>9.14</v>
      </c>
      <c r="J289" s="18">
        <v>8.2100000000000009</v>
      </c>
      <c r="K289" s="4">
        <f t="shared" si="25"/>
        <v>10.425000000000001</v>
      </c>
      <c r="L289" s="18">
        <v>8.2100000000000009</v>
      </c>
      <c r="M289" s="4">
        <f t="shared" si="24"/>
        <v>10.946250000000001</v>
      </c>
      <c r="N289" s="4">
        <f t="shared" si="26"/>
        <v>10.946250000000001</v>
      </c>
      <c r="O289" s="18">
        <v>28.62</v>
      </c>
      <c r="P289" s="4">
        <f t="shared" si="22"/>
        <v>7.8187500000000005</v>
      </c>
    </row>
    <row r="290" spans="1:16" x14ac:dyDescent="0.2">
      <c r="A290" s="15" t="s">
        <v>615</v>
      </c>
      <c r="B290" s="15" t="s">
        <v>616</v>
      </c>
      <c r="C290" s="16" t="s">
        <v>18</v>
      </c>
      <c r="D290" s="17">
        <v>131.93</v>
      </c>
      <c r="E290" s="18">
        <v>56.38</v>
      </c>
      <c r="F290" s="18">
        <v>56.38</v>
      </c>
      <c r="G290" s="18">
        <v>56.38</v>
      </c>
      <c r="H290" s="5">
        <v>35.08</v>
      </c>
      <c r="I290" s="18">
        <v>57.26</v>
      </c>
      <c r="J290" s="18">
        <v>51.44</v>
      </c>
      <c r="K290" s="4">
        <f t="shared" si="25"/>
        <v>56.38</v>
      </c>
      <c r="L290" s="18">
        <v>51.44</v>
      </c>
      <c r="M290" s="4">
        <f t="shared" si="24"/>
        <v>59.199000000000005</v>
      </c>
      <c r="N290" s="4">
        <f t="shared" si="26"/>
        <v>59.199000000000005</v>
      </c>
      <c r="O290" s="18">
        <v>43.28</v>
      </c>
      <c r="P290" s="4">
        <f t="shared" si="22"/>
        <v>42.285000000000004</v>
      </c>
    </row>
    <row r="291" spans="1:16" x14ac:dyDescent="0.2">
      <c r="A291" s="15" t="s">
        <v>617</v>
      </c>
      <c r="B291" s="15" t="s">
        <v>618</v>
      </c>
      <c r="C291" s="16" t="s">
        <v>18</v>
      </c>
      <c r="D291" s="17">
        <v>25.19</v>
      </c>
      <c r="E291" s="18">
        <v>25.85</v>
      </c>
      <c r="F291" s="18">
        <v>25.85</v>
      </c>
      <c r="G291" s="18">
        <v>25.85</v>
      </c>
      <c r="H291" s="5">
        <v>28.59</v>
      </c>
      <c r="I291" s="18">
        <v>28.72</v>
      </c>
      <c r="J291" s="18">
        <v>25.8</v>
      </c>
      <c r="K291" s="4">
        <f t="shared" si="25"/>
        <v>25.85</v>
      </c>
      <c r="L291" s="18">
        <v>25.8</v>
      </c>
      <c r="M291" s="4">
        <f t="shared" si="24"/>
        <v>27.142500000000002</v>
      </c>
      <c r="N291" s="4">
        <f t="shared" si="26"/>
        <v>27.142500000000002</v>
      </c>
      <c r="O291" s="18">
        <v>23.93</v>
      </c>
      <c r="P291" s="4">
        <f t="shared" si="22"/>
        <v>19.387500000000003</v>
      </c>
    </row>
    <row r="292" spans="1:16" x14ac:dyDescent="0.2">
      <c r="A292" s="2" t="s">
        <v>619</v>
      </c>
      <c r="B292" s="2" t="s">
        <v>620</v>
      </c>
      <c r="C292" s="3" t="s">
        <v>18</v>
      </c>
      <c r="D292" s="4">
        <v>39.9</v>
      </c>
      <c r="E292" s="4">
        <v>13.69</v>
      </c>
      <c r="F292" s="4">
        <v>13.69</v>
      </c>
      <c r="G292" s="4">
        <v>13.69</v>
      </c>
      <c r="H292" s="5">
        <v>24.93</v>
      </c>
      <c r="I292" s="4">
        <v>14.77</v>
      </c>
      <c r="J292" s="4">
        <v>13.27</v>
      </c>
      <c r="K292" s="4">
        <f t="shared" si="25"/>
        <v>13.69</v>
      </c>
      <c r="L292" s="4">
        <v>13.27</v>
      </c>
      <c r="M292" s="4">
        <f t="shared" si="24"/>
        <v>14.374499999999999</v>
      </c>
      <c r="N292" s="4">
        <f t="shared" si="26"/>
        <v>14.374499999999999</v>
      </c>
      <c r="O292" s="6">
        <v>26.5</v>
      </c>
      <c r="P292" s="4">
        <f t="shared" si="22"/>
        <v>10.2675</v>
      </c>
    </row>
    <row r="293" spans="1:16" x14ac:dyDescent="0.2">
      <c r="A293" s="15" t="s">
        <v>621</v>
      </c>
      <c r="B293" s="15" t="s">
        <v>622</v>
      </c>
      <c r="C293" s="16" t="s">
        <v>51</v>
      </c>
      <c r="D293" s="17">
        <v>100</v>
      </c>
      <c r="E293" s="18">
        <v>119.64</v>
      </c>
      <c r="F293" s="18">
        <v>119.64</v>
      </c>
      <c r="G293" s="18">
        <v>119.64</v>
      </c>
      <c r="H293" s="5">
        <v>27.97</v>
      </c>
      <c r="I293" s="18">
        <v>132.79</v>
      </c>
      <c r="J293" s="18">
        <v>119.29</v>
      </c>
      <c r="K293" s="4">
        <f t="shared" si="25"/>
        <v>119.64</v>
      </c>
      <c r="L293" s="18">
        <v>119.29</v>
      </c>
      <c r="M293" s="4">
        <f t="shared" si="24"/>
        <v>125.622</v>
      </c>
      <c r="N293" s="4">
        <f t="shared" si="26"/>
        <v>125.622</v>
      </c>
      <c r="O293" s="18">
        <v>27.99</v>
      </c>
      <c r="P293" s="4">
        <f t="shared" si="22"/>
        <v>89.73</v>
      </c>
    </row>
    <row r="294" spans="1:16" x14ac:dyDescent="0.2">
      <c r="A294" s="15" t="s">
        <v>623</v>
      </c>
      <c r="B294" s="15" t="s">
        <v>624</v>
      </c>
      <c r="C294" s="16" t="s">
        <v>18</v>
      </c>
      <c r="D294" s="17">
        <v>35</v>
      </c>
      <c r="E294" s="18">
        <v>28.04</v>
      </c>
      <c r="F294" s="18">
        <v>28.04</v>
      </c>
      <c r="G294" s="18">
        <v>28.04</v>
      </c>
      <c r="H294" s="5">
        <v>22.68</v>
      </c>
      <c r="I294" s="18">
        <v>34.68</v>
      </c>
      <c r="J294" s="18">
        <v>32.42</v>
      </c>
      <c r="K294" s="4">
        <f t="shared" si="25"/>
        <v>28.04</v>
      </c>
      <c r="L294" s="18">
        <v>23.81</v>
      </c>
      <c r="M294" s="4">
        <f t="shared" si="24"/>
        <v>29.442</v>
      </c>
      <c r="N294" s="4">
        <f t="shared" si="26"/>
        <v>29.442</v>
      </c>
      <c r="O294" s="18">
        <v>20.89</v>
      </c>
      <c r="P294" s="4">
        <f t="shared" si="22"/>
        <v>21.03</v>
      </c>
    </row>
    <row r="295" spans="1:16" x14ac:dyDescent="0.2">
      <c r="A295" s="15" t="s">
        <v>625</v>
      </c>
      <c r="B295" s="15" t="s">
        <v>626</v>
      </c>
      <c r="C295" s="16" t="s">
        <v>51</v>
      </c>
      <c r="D295" s="17">
        <v>129.85</v>
      </c>
      <c r="E295" s="18">
        <v>133.31</v>
      </c>
      <c r="F295" s="18">
        <v>133.31</v>
      </c>
      <c r="G295" s="18">
        <v>133.31</v>
      </c>
      <c r="H295" s="5">
        <v>151.97999999999999</v>
      </c>
      <c r="I295" s="18">
        <v>148.11000000000001</v>
      </c>
      <c r="J295" s="18">
        <v>133.05000000000001</v>
      </c>
      <c r="K295" s="4">
        <f t="shared" si="25"/>
        <v>133.31</v>
      </c>
      <c r="L295" s="18">
        <v>133.05000000000001</v>
      </c>
      <c r="M295" s="4">
        <f t="shared" si="24"/>
        <v>139.97550000000001</v>
      </c>
      <c r="N295" s="4">
        <f t="shared" si="26"/>
        <v>139.97550000000001</v>
      </c>
      <c r="O295" s="18">
        <v>132.04</v>
      </c>
      <c r="P295" s="4">
        <f t="shared" si="22"/>
        <v>99.982500000000002</v>
      </c>
    </row>
    <row r="296" spans="1:16" x14ac:dyDescent="0.2">
      <c r="A296" s="15" t="s">
        <v>627</v>
      </c>
      <c r="B296" s="15" t="s">
        <v>628</v>
      </c>
      <c r="C296" s="16" t="s">
        <v>18</v>
      </c>
      <c r="D296" s="17">
        <v>69.53</v>
      </c>
      <c r="E296" s="18">
        <v>20.260000000000002</v>
      </c>
      <c r="F296" s="18">
        <v>20.260000000000002</v>
      </c>
      <c r="G296" s="18">
        <v>20.260000000000002</v>
      </c>
      <c r="H296" s="5">
        <v>35.51</v>
      </c>
      <c r="I296" s="18">
        <v>23.27</v>
      </c>
      <c r="J296" s="18">
        <v>20.9</v>
      </c>
      <c r="K296" s="4">
        <f t="shared" si="25"/>
        <v>20.260000000000002</v>
      </c>
      <c r="L296" s="18">
        <v>20.9</v>
      </c>
      <c r="M296" s="4">
        <f t="shared" si="24"/>
        <v>21.273000000000003</v>
      </c>
      <c r="N296" s="4">
        <f t="shared" si="26"/>
        <v>21.273000000000003</v>
      </c>
      <c r="O296" s="18">
        <v>29.92</v>
      </c>
      <c r="P296" s="4">
        <f t="shared" si="22"/>
        <v>15.195</v>
      </c>
    </row>
    <row r="297" spans="1:16" x14ac:dyDescent="0.2">
      <c r="A297" s="15" t="s">
        <v>629</v>
      </c>
      <c r="B297" s="15" t="s">
        <v>630</v>
      </c>
      <c r="C297" s="16" t="s">
        <v>24</v>
      </c>
      <c r="D297" s="17">
        <v>0.26</v>
      </c>
      <c r="E297" s="18">
        <v>0.32</v>
      </c>
      <c r="F297" s="18">
        <v>0.32</v>
      </c>
      <c r="G297" s="18">
        <v>0.32</v>
      </c>
      <c r="H297" s="5">
        <v>0.42</v>
      </c>
      <c r="I297" s="18">
        <v>0.38</v>
      </c>
      <c r="J297" s="18">
        <v>0.34</v>
      </c>
      <c r="K297" s="4">
        <f t="shared" si="25"/>
        <v>0.32</v>
      </c>
      <c r="L297" s="18">
        <v>0.34</v>
      </c>
      <c r="M297" s="4">
        <f t="shared" si="24"/>
        <v>0.33600000000000002</v>
      </c>
      <c r="N297" s="4">
        <f t="shared" si="26"/>
        <v>0.33600000000000002</v>
      </c>
      <c r="O297" s="18">
        <v>0.41</v>
      </c>
      <c r="P297" s="4">
        <f t="shared" si="22"/>
        <v>0.24</v>
      </c>
    </row>
    <row r="298" spans="1:16" x14ac:dyDescent="0.2">
      <c r="A298" s="15" t="s">
        <v>631</v>
      </c>
      <c r="B298" s="15" t="s">
        <v>632</v>
      </c>
      <c r="C298" s="16" t="s">
        <v>18</v>
      </c>
      <c r="D298" s="17">
        <v>34</v>
      </c>
      <c r="E298" s="18">
        <v>51.59</v>
      </c>
      <c r="F298" s="18">
        <v>51.59</v>
      </c>
      <c r="G298" s="18">
        <v>51.59</v>
      </c>
      <c r="H298" s="5">
        <v>49.89</v>
      </c>
      <c r="I298" s="18">
        <v>36.75</v>
      </c>
      <c r="J298" s="18">
        <v>33.01</v>
      </c>
      <c r="K298" s="4">
        <f t="shared" si="25"/>
        <v>51.59</v>
      </c>
      <c r="L298" s="18">
        <v>33.01</v>
      </c>
      <c r="M298" s="4">
        <f t="shared" si="24"/>
        <v>54.169500000000006</v>
      </c>
      <c r="N298" s="4">
        <f t="shared" si="26"/>
        <v>54.169500000000006</v>
      </c>
      <c r="O298" s="18">
        <v>42.6</v>
      </c>
      <c r="P298" s="4">
        <f t="shared" si="22"/>
        <v>38.692500000000003</v>
      </c>
    </row>
    <row r="299" spans="1:16" x14ac:dyDescent="0.2">
      <c r="A299" s="15" t="s">
        <v>633</v>
      </c>
      <c r="B299" s="15" t="s">
        <v>634</v>
      </c>
      <c r="C299" s="16" t="s">
        <v>51</v>
      </c>
      <c r="D299" s="17">
        <v>113.94</v>
      </c>
      <c r="E299" s="18">
        <v>158.26</v>
      </c>
      <c r="F299" s="18">
        <v>158.26</v>
      </c>
      <c r="G299" s="18">
        <v>158.26</v>
      </c>
      <c r="H299" s="5">
        <v>284.83</v>
      </c>
      <c r="I299" s="18">
        <v>163.91</v>
      </c>
      <c r="J299" s="18">
        <v>147.24</v>
      </c>
      <c r="K299" s="4">
        <f t="shared" si="25"/>
        <v>158.26</v>
      </c>
      <c r="L299" s="18">
        <v>147.24</v>
      </c>
      <c r="M299" s="4">
        <f t="shared" si="24"/>
        <v>166.173</v>
      </c>
      <c r="N299" s="4">
        <f t="shared" si="26"/>
        <v>166.173</v>
      </c>
      <c r="O299" s="18">
        <v>229.11</v>
      </c>
      <c r="P299" s="4">
        <f t="shared" si="22"/>
        <v>118.69499999999999</v>
      </c>
    </row>
    <row r="300" spans="1:16" x14ac:dyDescent="0.2">
      <c r="A300" s="15" t="s">
        <v>635</v>
      </c>
      <c r="B300" s="15" t="s">
        <v>636</v>
      </c>
      <c r="C300" s="16">
        <v>0.01</v>
      </c>
      <c r="D300" s="17">
        <v>40</v>
      </c>
      <c r="E300" s="18">
        <v>83.48</v>
      </c>
      <c r="F300" s="18">
        <v>83.48</v>
      </c>
      <c r="G300" s="18">
        <v>83.48</v>
      </c>
      <c r="H300" s="5">
        <v>173.07</v>
      </c>
      <c r="I300" s="18">
        <v>83.34</v>
      </c>
      <c r="J300" s="18">
        <v>83.34</v>
      </c>
      <c r="K300" s="4">
        <f t="shared" si="25"/>
        <v>83.48</v>
      </c>
      <c r="L300" s="18">
        <v>83.34</v>
      </c>
      <c r="M300" s="4">
        <f t="shared" si="24"/>
        <v>87.654000000000011</v>
      </c>
      <c r="N300" s="4">
        <f t="shared" si="26"/>
        <v>87.654000000000011</v>
      </c>
      <c r="O300" s="18">
        <v>86.51</v>
      </c>
      <c r="P300" s="4">
        <f t="shared" si="22"/>
        <v>62.61</v>
      </c>
    </row>
    <row r="301" spans="1:16" x14ac:dyDescent="0.2">
      <c r="A301" s="15" t="s">
        <v>637</v>
      </c>
      <c r="B301" s="15" t="s">
        <v>638</v>
      </c>
      <c r="C301" s="16" t="s">
        <v>18</v>
      </c>
      <c r="D301" s="17">
        <v>29.04</v>
      </c>
      <c r="E301" s="18">
        <v>34.65</v>
      </c>
      <c r="F301" s="18">
        <v>34.65</v>
      </c>
      <c r="G301" s="18">
        <v>34.65</v>
      </c>
      <c r="H301" s="5">
        <v>52.39</v>
      </c>
      <c r="I301" s="18">
        <v>42.48</v>
      </c>
      <c r="J301" s="18">
        <v>38.159999999999997</v>
      </c>
      <c r="K301" s="4">
        <f t="shared" si="25"/>
        <v>34.65</v>
      </c>
      <c r="L301" s="18">
        <v>38.159999999999997</v>
      </c>
      <c r="M301" s="4">
        <f t="shared" si="24"/>
        <v>36.3825</v>
      </c>
      <c r="N301" s="4">
        <f t="shared" si="26"/>
        <v>36.3825</v>
      </c>
      <c r="O301" s="18">
        <v>43.62</v>
      </c>
      <c r="P301" s="4">
        <f t="shared" si="22"/>
        <v>25.987499999999997</v>
      </c>
    </row>
    <row r="302" spans="1:16" x14ac:dyDescent="0.2">
      <c r="A302" s="15" t="s">
        <v>639</v>
      </c>
      <c r="B302" s="15" t="s">
        <v>640</v>
      </c>
      <c r="C302" s="16" t="s">
        <v>51</v>
      </c>
      <c r="D302" s="17">
        <v>109.38</v>
      </c>
      <c r="E302" s="18">
        <v>112.13</v>
      </c>
      <c r="F302" s="18">
        <v>112.13</v>
      </c>
      <c r="G302" s="18">
        <v>112.13</v>
      </c>
      <c r="H302" s="5">
        <v>185.83</v>
      </c>
      <c r="I302" s="18">
        <v>141.63</v>
      </c>
      <c r="J302" s="18">
        <v>127.23</v>
      </c>
      <c r="K302" s="4">
        <f t="shared" si="25"/>
        <v>112.13</v>
      </c>
      <c r="L302" s="18">
        <v>127.23</v>
      </c>
      <c r="M302" s="4">
        <f t="shared" si="24"/>
        <v>117.73650000000001</v>
      </c>
      <c r="N302" s="4">
        <f t="shared" si="26"/>
        <v>117.73650000000001</v>
      </c>
      <c r="O302" s="18">
        <v>149.21</v>
      </c>
      <c r="P302" s="4">
        <f t="shared" si="22"/>
        <v>84.097499999999997</v>
      </c>
    </row>
    <row r="303" spans="1:16" x14ac:dyDescent="0.2">
      <c r="A303" s="15" t="s">
        <v>641</v>
      </c>
      <c r="B303" s="15" t="s">
        <v>642</v>
      </c>
      <c r="C303" s="16" t="s">
        <v>24</v>
      </c>
      <c r="D303" s="17">
        <v>5.03</v>
      </c>
      <c r="E303" s="18">
        <v>5.26</v>
      </c>
      <c r="F303" s="18">
        <v>5.26</v>
      </c>
      <c r="G303" s="18">
        <v>5.26</v>
      </c>
      <c r="H303" s="5">
        <v>6.49</v>
      </c>
      <c r="I303" s="18">
        <v>5.59</v>
      </c>
      <c r="J303" s="18">
        <v>5.59</v>
      </c>
      <c r="K303" s="4">
        <f t="shared" si="25"/>
        <v>5.26</v>
      </c>
      <c r="L303" s="18">
        <v>5.59</v>
      </c>
      <c r="M303" s="4">
        <f t="shared" si="24"/>
        <v>5.5229999999999997</v>
      </c>
      <c r="N303" s="4">
        <f t="shared" si="26"/>
        <v>5.5229999999999997</v>
      </c>
      <c r="O303" s="18">
        <v>5.79</v>
      </c>
      <c r="P303" s="4">
        <f t="shared" ref="P303:P319" si="27">E303*0.75</f>
        <v>3.9449999999999998</v>
      </c>
    </row>
    <row r="304" spans="1:16" x14ac:dyDescent="0.2">
      <c r="A304" s="20" t="s">
        <v>643</v>
      </c>
      <c r="B304" s="20" t="s">
        <v>644</v>
      </c>
      <c r="C304" s="16" t="s">
        <v>24</v>
      </c>
      <c r="D304" s="17">
        <v>23.2</v>
      </c>
      <c r="E304" s="18">
        <v>24.32</v>
      </c>
      <c r="F304" s="18">
        <v>24.32</v>
      </c>
      <c r="G304" s="18">
        <v>24.32</v>
      </c>
      <c r="H304" s="5" t="s">
        <v>36</v>
      </c>
      <c r="I304" s="18">
        <v>23.68</v>
      </c>
      <c r="J304" s="18">
        <v>23.3</v>
      </c>
      <c r="K304" s="4">
        <f t="shared" si="25"/>
        <v>24.32</v>
      </c>
      <c r="L304" s="18">
        <v>24.15</v>
      </c>
      <c r="M304" s="4">
        <f t="shared" si="24"/>
        <v>25.536000000000001</v>
      </c>
      <c r="N304" s="4">
        <f t="shared" si="26"/>
        <v>25.536000000000001</v>
      </c>
      <c r="O304" s="21" t="s">
        <v>32</v>
      </c>
      <c r="P304" s="4">
        <f t="shared" si="27"/>
        <v>18.240000000000002</v>
      </c>
    </row>
    <row r="305" spans="1:16" x14ac:dyDescent="0.2">
      <c r="A305" s="15" t="s">
        <v>645</v>
      </c>
      <c r="B305" s="15" t="s">
        <v>646</v>
      </c>
      <c r="C305" s="16" t="s">
        <v>24</v>
      </c>
      <c r="D305" s="17">
        <v>4.1399999999999997</v>
      </c>
      <c r="E305" s="18">
        <v>4.4400000000000004</v>
      </c>
      <c r="F305" s="18">
        <v>4.4400000000000004</v>
      </c>
      <c r="G305" s="18">
        <v>4.4400000000000004</v>
      </c>
      <c r="H305" s="5">
        <v>4.25</v>
      </c>
      <c r="I305" s="18">
        <v>4.1900000000000004</v>
      </c>
      <c r="J305" s="18">
        <v>4.1900000000000004</v>
      </c>
      <c r="K305" s="4">
        <f t="shared" si="25"/>
        <v>4.4400000000000004</v>
      </c>
      <c r="L305" s="18">
        <v>4.1900000000000004</v>
      </c>
      <c r="M305" s="4">
        <f t="shared" si="24"/>
        <v>4.6620000000000008</v>
      </c>
      <c r="N305" s="4">
        <f t="shared" si="26"/>
        <v>4.6620000000000008</v>
      </c>
      <c r="O305" s="18">
        <v>4.6900000000000004</v>
      </c>
      <c r="P305" s="4">
        <f t="shared" si="27"/>
        <v>3.33</v>
      </c>
    </row>
    <row r="306" spans="1:16" x14ac:dyDescent="0.2">
      <c r="A306" s="15" t="s">
        <v>647</v>
      </c>
      <c r="B306" s="15" t="s">
        <v>648</v>
      </c>
      <c r="C306" s="16" t="s">
        <v>24</v>
      </c>
      <c r="D306" s="17">
        <v>26.2</v>
      </c>
      <c r="E306" s="18">
        <v>27.91</v>
      </c>
      <c r="F306" s="18">
        <v>27.91</v>
      </c>
      <c r="G306" s="18">
        <v>27.91</v>
      </c>
      <c r="H306" s="5">
        <v>25.88</v>
      </c>
      <c r="I306" s="18">
        <v>31.43</v>
      </c>
      <c r="J306" s="18">
        <v>28.23</v>
      </c>
      <c r="K306" s="4">
        <f t="shared" si="25"/>
        <v>27.91</v>
      </c>
      <c r="L306" s="18">
        <v>28.23</v>
      </c>
      <c r="M306" s="4">
        <f t="shared" si="24"/>
        <v>29.305500000000002</v>
      </c>
      <c r="N306" s="4">
        <f t="shared" si="26"/>
        <v>29.305500000000002</v>
      </c>
      <c r="O306" s="18">
        <v>27.27</v>
      </c>
      <c r="P306" s="4">
        <f t="shared" si="27"/>
        <v>20.932500000000001</v>
      </c>
    </row>
    <row r="307" spans="1:16" x14ac:dyDescent="0.2">
      <c r="A307" s="15" t="s">
        <v>647</v>
      </c>
      <c r="B307" s="15" t="s">
        <v>649</v>
      </c>
      <c r="C307" s="16" t="s">
        <v>24</v>
      </c>
      <c r="D307" s="17">
        <v>26.2</v>
      </c>
      <c r="E307" s="18">
        <v>27.91</v>
      </c>
      <c r="F307" s="18">
        <v>27.91</v>
      </c>
      <c r="G307" s="18">
        <v>27.91</v>
      </c>
      <c r="H307" s="5">
        <v>25.88</v>
      </c>
      <c r="I307" s="18">
        <v>31.43</v>
      </c>
      <c r="J307" s="18">
        <v>28.23</v>
      </c>
      <c r="K307" s="4">
        <f t="shared" si="25"/>
        <v>27.91</v>
      </c>
      <c r="L307" s="18">
        <v>28.23</v>
      </c>
      <c r="M307" s="4">
        <f t="shared" si="24"/>
        <v>29.305500000000002</v>
      </c>
      <c r="N307" s="4">
        <f t="shared" si="26"/>
        <v>29.305500000000002</v>
      </c>
      <c r="O307" s="18">
        <v>27.27</v>
      </c>
      <c r="P307" s="4">
        <f t="shared" si="27"/>
        <v>20.932500000000001</v>
      </c>
    </row>
    <row r="308" spans="1:16" x14ac:dyDescent="0.2">
      <c r="A308" s="15" t="s">
        <v>650</v>
      </c>
      <c r="B308" s="15" t="s">
        <v>651</v>
      </c>
      <c r="C308" s="16" t="s">
        <v>18</v>
      </c>
      <c r="D308" s="17">
        <v>30.87</v>
      </c>
      <c r="E308" s="18">
        <v>37.865000000000002</v>
      </c>
      <c r="F308" s="18">
        <v>37.865000000000002</v>
      </c>
      <c r="G308" s="18">
        <v>37.865000000000002</v>
      </c>
      <c r="H308" s="5">
        <v>88.91</v>
      </c>
      <c r="I308" s="18">
        <v>41.36</v>
      </c>
      <c r="J308" s="18">
        <v>37.15</v>
      </c>
      <c r="K308" s="4">
        <f t="shared" si="25"/>
        <v>37.865000000000002</v>
      </c>
      <c r="L308" s="18">
        <v>37.15</v>
      </c>
      <c r="M308" s="4">
        <f t="shared" si="24"/>
        <v>39.758250000000004</v>
      </c>
      <c r="N308" s="4">
        <f t="shared" si="26"/>
        <v>39.758250000000004</v>
      </c>
      <c r="O308" s="18">
        <v>76.180000000000007</v>
      </c>
      <c r="P308" s="4">
        <f t="shared" si="27"/>
        <v>28.39875</v>
      </c>
    </row>
    <row r="309" spans="1:16" x14ac:dyDescent="0.2">
      <c r="A309" s="15" t="s">
        <v>652</v>
      </c>
      <c r="B309" s="15" t="s">
        <v>653</v>
      </c>
      <c r="C309" s="16" t="s">
        <v>63</v>
      </c>
      <c r="D309" s="17">
        <v>1</v>
      </c>
      <c r="E309" s="18">
        <v>1.03</v>
      </c>
      <c r="F309" s="18">
        <v>1.03</v>
      </c>
      <c r="G309" s="18">
        <v>1.03</v>
      </c>
      <c r="H309" s="5">
        <v>0.54</v>
      </c>
      <c r="I309" s="18">
        <v>1.1100000000000001</v>
      </c>
      <c r="J309" s="18">
        <v>1</v>
      </c>
      <c r="K309" s="4">
        <v>1</v>
      </c>
      <c r="L309" s="18">
        <v>1</v>
      </c>
      <c r="M309" s="4">
        <f t="shared" si="24"/>
        <v>1.0815000000000001</v>
      </c>
      <c r="N309" s="4">
        <f t="shared" si="26"/>
        <v>1.0815000000000001</v>
      </c>
      <c r="O309" s="21" t="s">
        <v>32</v>
      </c>
      <c r="P309" s="4">
        <f t="shared" si="27"/>
        <v>0.77249999999999996</v>
      </c>
    </row>
    <row r="310" spans="1:16" x14ac:dyDescent="0.2">
      <c r="A310" s="22" t="s">
        <v>654</v>
      </c>
      <c r="B310" s="22" t="s">
        <v>655</v>
      </c>
      <c r="C310" s="16" t="s">
        <v>91</v>
      </c>
      <c r="D310" s="23" t="s">
        <v>35</v>
      </c>
      <c r="E310" s="24">
        <v>31.93</v>
      </c>
      <c r="F310" s="24">
        <v>31.93</v>
      </c>
      <c r="G310" s="24">
        <v>31.93</v>
      </c>
      <c r="H310" s="25">
        <v>31.35</v>
      </c>
      <c r="I310" s="18">
        <v>31.67</v>
      </c>
      <c r="J310" s="18">
        <v>31.67</v>
      </c>
      <c r="K310" s="18">
        <v>31.67</v>
      </c>
      <c r="L310" s="18">
        <v>31.67</v>
      </c>
      <c r="M310" s="4">
        <f t="shared" si="24"/>
        <v>33.526499999999999</v>
      </c>
      <c r="N310" s="4">
        <f t="shared" si="26"/>
        <v>33.526499999999999</v>
      </c>
      <c r="O310" s="18">
        <v>31.05</v>
      </c>
      <c r="P310" s="4">
        <f t="shared" si="27"/>
        <v>23.947499999999998</v>
      </c>
    </row>
    <row r="311" spans="1:16" x14ac:dyDescent="0.2">
      <c r="A311" s="22" t="s">
        <v>656</v>
      </c>
      <c r="B311" s="22" t="s">
        <v>657</v>
      </c>
      <c r="C311" s="16" t="s">
        <v>91</v>
      </c>
      <c r="D311" s="23" t="s">
        <v>35</v>
      </c>
      <c r="E311" s="24">
        <v>41.79</v>
      </c>
      <c r="F311" s="24">
        <v>41.79</v>
      </c>
      <c r="G311" s="24">
        <v>41.79</v>
      </c>
      <c r="H311" s="25">
        <v>40.31</v>
      </c>
      <c r="I311" s="18">
        <v>42.35</v>
      </c>
      <c r="J311" s="18">
        <v>42.35</v>
      </c>
      <c r="K311" s="18">
        <v>42.35</v>
      </c>
      <c r="L311" s="18">
        <v>42.35</v>
      </c>
      <c r="M311" s="4">
        <f t="shared" si="24"/>
        <v>43.8795</v>
      </c>
      <c r="N311" s="4">
        <f t="shared" si="26"/>
        <v>43.8795</v>
      </c>
      <c r="O311" s="18">
        <v>39.92</v>
      </c>
      <c r="P311" s="4">
        <f t="shared" si="27"/>
        <v>31.342500000000001</v>
      </c>
    </row>
    <row r="312" spans="1:16" x14ac:dyDescent="0.2">
      <c r="A312" s="20" t="s">
        <v>658</v>
      </c>
      <c r="B312" s="20" t="s">
        <v>659</v>
      </c>
      <c r="C312" s="16" t="s">
        <v>24</v>
      </c>
      <c r="D312" s="17">
        <v>3.88</v>
      </c>
      <c r="E312" s="24">
        <v>4.6349999999999998</v>
      </c>
      <c r="F312" s="24">
        <v>4.6349999999999998</v>
      </c>
      <c r="G312" s="24">
        <v>4.6349999999999998</v>
      </c>
      <c r="H312" s="25" t="s">
        <v>36</v>
      </c>
      <c r="I312" s="18">
        <v>4.32</v>
      </c>
      <c r="J312" s="18">
        <v>4.25</v>
      </c>
      <c r="K312" s="18">
        <f>E312</f>
        <v>4.6349999999999998</v>
      </c>
      <c r="L312" s="18">
        <v>4.4000000000000004</v>
      </c>
      <c r="M312" s="4">
        <f t="shared" si="24"/>
        <v>4.8667499999999997</v>
      </c>
      <c r="N312" s="4">
        <f t="shared" si="26"/>
        <v>4.8667499999999997</v>
      </c>
      <c r="O312" s="21" t="s">
        <v>32</v>
      </c>
      <c r="P312" s="4">
        <f t="shared" si="27"/>
        <v>3.4762499999999998</v>
      </c>
    </row>
    <row r="313" spans="1:16" x14ac:dyDescent="0.2">
      <c r="A313" s="2" t="s">
        <v>660</v>
      </c>
      <c r="B313" s="2" t="s">
        <v>661</v>
      </c>
      <c r="C313" s="3" t="s">
        <v>24</v>
      </c>
      <c r="D313" s="4">
        <v>24.99</v>
      </c>
      <c r="E313" s="4">
        <v>26.21</v>
      </c>
      <c r="F313" s="4">
        <v>26.21</v>
      </c>
      <c r="G313" s="4">
        <v>26.21</v>
      </c>
      <c r="H313" s="5">
        <f>3277.25/120</f>
        <v>27.310416666666665</v>
      </c>
      <c r="I313" s="4">
        <v>28.5</v>
      </c>
      <c r="J313" s="4">
        <v>28.04</v>
      </c>
      <c r="K313" s="18">
        <f t="shared" ref="K313:K319" si="28">E313</f>
        <v>26.21</v>
      </c>
      <c r="L313" s="4">
        <v>29.07</v>
      </c>
      <c r="M313" s="4">
        <f t="shared" si="24"/>
        <v>27.520500000000002</v>
      </c>
      <c r="N313" s="4">
        <f t="shared" si="26"/>
        <v>27.520500000000002</v>
      </c>
      <c r="O313" s="7" t="s">
        <v>32</v>
      </c>
      <c r="P313" s="4">
        <f t="shared" si="27"/>
        <v>19.657499999999999</v>
      </c>
    </row>
    <row r="314" spans="1:16" x14ac:dyDescent="0.2">
      <c r="A314" s="2" t="s">
        <v>660</v>
      </c>
      <c r="B314" s="2" t="s">
        <v>662</v>
      </c>
      <c r="C314" s="3" t="s">
        <v>24</v>
      </c>
      <c r="D314" s="4">
        <v>24.35</v>
      </c>
      <c r="E314" s="4">
        <v>26.21</v>
      </c>
      <c r="F314" s="4">
        <v>26.21</v>
      </c>
      <c r="G314" s="4">
        <v>26.21</v>
      </c>
      <c r="H314" s="5">
        <f>1781.66/60</f>
        <v>29.694333333333336</v>
      </c>
      <c r="I314" s="4">
        <v>28.5</v>
      </c>
      <c r="J314" s="4">
        <v>28.04</v>
      </c>
      <c r="K314" s="18">
        <f t="shared" si="28"/>
        <v>26.21</v>
      </c>
      <c r="L314" s="4">
        <v>29.07</v>
      </c>
      <c r="M314" s="4">
        <f t="shared" si="24"/>
        <v>27.520500000000002</v>
      </c>
      <c r="N314" s="4">
        <f t="shared" si="26"/>
        <v>27.520500000000002</v>
      </c>
      <c r="O314" s="7" t="s">
        <v>32</v>
      </c>
      <c r="P314" s="4">
        <f t="shared" si="27"/>
        <v>19.657499999999999</v>
      </c>
    </row>
    <row r="315" spans="1:16" x14ac:dyDescent="0.2">
      <c r="A315" s="2" t="s">
        <v>663</v>
      </c>
      <c r="B315" s="2" t="s">
        <v>664</v>
      </c>
      <c r="C315" s="3" t="s">
        <v>24</v>
      </c>
      <c r="D315" s="4">
        <v>25.1</v>
      </c>
      <c r="E315" s="4">
        <v>29.8</v>
      </c>
      <c r="F315" s="4">
        <v>29.8</v>
      </c>
      <c r="G315" s="4">
        <v>29.8</v>
      </c>
      <c r="H315" s="5">
        <f>3346.25/120</f>
        <v>27.885416666666668</v>
      </c>
      <c r="I315" s="4">
        <v>29.1</v>
      </c>
      <c r="J315" s="4">
        <v>28.63</v>
      </c>
      <c r="K315" s="18">
        <f t="shared" si="28"/>
        <v>29.8</v>
      </c>
      <c r="L315" s="4">
        <v>29.68</v>
      </c>
      <c r="M315" s="4">
        <f t="shared" si="24"/>
        <v>31.290000000000003</v>
      </c>
      <c r="N315" s="4">
        <f t="shared" si="26"/>
        <v>31.290000000000003</v>
      </c>
      <c r="O315" s="7" t="s">
        <v>32</v>
      </c>
      <c r="P315" s="4">
        <f t="shared" si="27"/>
        <v>22.35</v>
      </c>
    </row>
    <row r="316" spans="1:16" x14ac:dyDescent="0.2">
      <c r="A316" s="2" t="s">
        <v>663</v>
      </c>
      <c r="B316" s="2" t="s">
        <v>665</v>
      </c>
      <c r="C316" s="3" t="s">
        <v>24</v>
      </c>
      <c r="D316" s="4">
        <v>27.29</v>
      </c>
      <c r="E316" s="4">
        <v>29.8</v>
      </c>
      <c r="F316" s="4">
        <v>29.8</v>
      </c>
      <c r="G316" s="4">
        <v>29.8</v>
      </c>
      <c r="H316" s="5">
        <f>1819.17/60</f>
        <v>30.319500000000001</v>
      </c>
      <c r="I316" s="4">
        <v>29.1</v>
      </c>
      <c r="J316" s="4">
        <v>28.63</v>
      </c>
      <c r="K316" s="18">
        <f t="shared" si="28"/>
        <v>29.8</v>
      </c>
      <c r="L316" s="4">
        <v>29.68</v>
      </c>
      <c r="M316" s="4">
        <f t="shared" si="24"/>
        <v>31.290000000000003</v>
      </c>
      <c r="N316" s="4">
        <f t="shared" si="26"/>
        <v>31.290000000000003</v>
      </c>
      <c r="O316" s="7" t="s">
        <v>32</v>
      </c>
      <c r="P316" s="4">
        <f t="shared" si="27"/>
        <v>22.35</v>
      </c>
    </row>
    <row r="317" spans="1:16" x14ac:dyDescent="0.2">
      <c r="A317" s="2" t="s">
        <v>666</v>
      </c>
      <c r="B317" s="2" t="s">
        <v>667</v>
      </c>
      <c r="C317" s="3" t="s">
        <v>18</v>
      </c>
      <c r="D317" s="4">
        <v>78.8</v>
      </c>
      <c r="E317" s="4">
        <v>81.99</v>
      </c>
      <c r="F317" s="4">
        <v>81.99</v>
      </c>
      <c r="G317" s="4">
        <v>81.99</v>
      </c>
      <c r="H317" s="5">
        <v>79.599999999999994</v>
      </c>
      <c r="I317" s="4">
        <v>88.61</v>
      </c>
      <c r="J317" s="4">
        <v>78.33</v>
      </c>
      <c r="K317" s="18">
        <f t="shared" si="28"/>
        <v>81.99</v>
      </c>
      <c r="L317" s="4">
        <v>81.19</v>
      </c>
      <c r="M317" s="4">
        <f t="shared" si="24"/>
        <v>86.089500000000001</v>
      </c>
      <c r="N317" s="4">
        <f t="shared" si="26"/>
        <v>86.089500000000001</v>
      </c>
      <c r="O317" s="7" t="s">
        <v>32</v>
      </c>
      <c r="P317" s="4">
        <f t="shared" si="27"/>
        <v>61.492499999999993</v>
      </c>
    </row>
    <row r="318" spans="1:16" x14ac:dyDescent="0.2">
      <c r="A318" s="20" t="s">
        <v>668</v>
      </c>
      <c r="B318" s="20" t="s">
        <v>669</v>
      </c>
      <c r="C318" s="16" t="s">
        <v>24</v>
      </c>
      <c r="D318" s="17">
        <v>13.785</v>
      </c>
      <c r="E318" s="18">
        <v>15.84</v>
      </c>
      <c r="F318" s="18">
        <v>15.84</v>
      </c>
      <c r="G318" s="18">
        <v>15.84</v>
      </c>
      <c r="H318" s="25">
        <v>14.07</v>
      </c>
      <c r="I318" s="18" t="e">
        <f>#REF!*0.4</f>
        <v>#REF!</v>
      </c>
      <c r="J318" s="18">
        <v>14.35</v>
      </c>
      <c r="K318" s="18">
        <f t="shared" si="28"/>
        <v>15.84</v>
      </c>
      <c r="L318" s="18">
        <f>14.07</f>
        <v>14.07</v>
      </c>
      <c r="M318" s="4">
        <f t="shared" si="24"/>
        <v>16.632000000000001</v>
      </c>
      <c r="N318" s="4">
        <f t="shared" si="26"/>
        <v>16.632000000000001</v>
      </c>
      <c r="O318" s="26" t="s">
        <v>32</v>
      </c>
      <c r="P318" s="4">
        <f t="shared" si="27"/>
        <v>11.879999999999999</v>
      </c>
    </row>
    <row r="319" spans="1:16" x14ac:dyDescent="0.2">
      <c r="A319" s="8" t="s">
        <v>668</v>
      </c>
      <c r="B319" s="8" t="s">
        <v>670</v>
      </c>
      <c r="C319" s="27" t="s">
        <v>24</v>
      </c>
      <c r="D319" s="17">
        <v>13.79</v>
      </c>
      <c r="E319" s="18">
        <v>15.84</v>
      </c>
      <c r="F319" s="18">
        <v>15.84</v>
      </c>
      <c r="G319" s="18">
        <v>15.84</v>
      </c>
      <c r="H319" s="25">
        <v>14.07</v>
      </c>
      <c r="I319" s="18" t="e">
        <f>#REF!*0.4</f>
        <v>#REF!</v>
      </c>
      <c r="J319" s="18">
        <v>14.35</v>
      </c>
      <c r="K319" s="18">
        <f t="shared" si="28"/>
        <v>15.84</v>
      </c>
      <c r="L319" s="18">
        <v>14.07</v>
      </c>
      <c r="M319" s="4">
        <f t="shared" si="24"/>
        <v>16.632000000000001</v>
      </c>
      <c r="N319" s="4">
        <f t="shared" si="26"/>
        <v>16.632000000000001</v>
      </c>
      <c r="O319" s="21" t="s">
        <v>32</v>
      </c>
      <c r="P319" s="4">
        <f t="shared" si="27"/>
        <v>11.879999999999999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Muhammed (Waji) Syed</dc:creator>
  <cp:lastModifiedBy>Muhammed (Waji) Syed</cp:lastModifiedBy>
  <dcterms:created xsi:type="dcterms:W3CDTF">2026-04-20T21:41:57Z</dcterms:created>
  <dcterms:modified xsi:type="dcterms:W3CDTF">2026-04-21T00:48:00Z</dcterms:modified>
</cp:coreProperties>
</file>